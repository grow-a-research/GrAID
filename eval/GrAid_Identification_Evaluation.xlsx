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Data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color rgb="FFC0000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sz val="10"/>
    </font>
    <font>
      <name val="Arial"/>
      <charset val="1"/>
      <family val="0"/>
      <b val="1"/>
      <sz val="12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bottom" wrapText="1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4" borderId="0" applyAlignment="1" pivotButton="0" quotePrefix="0" xfId="0">
      <alignment horizontal="general" vertical="bottom"/>
    </xf>
    <xf numFmtId="9" fontId="11" fillId="4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4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bottom" wrapText="1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4" borderId="0" applyAlignment="1" pivotButton="0" quotePrefix="0" xfId="0">
      <alignment horizontal="general" vertical="bottom"/>
    </xf>
    <xf numFmtId="9" fontId="11" fillId="4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4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7" min="1" max="1"/>
    <col width="110" customWidth="1" style="27" min="2" max="2"/>
  </cols>
  <sheetData>
    <row r="1" ht="58.2" customHeight="1" s="28">
      <c r="A1" s="29" t="inlineStr">
        <is>
          <t>GrAid — Identification Scoring Evaluation Workbook (Exact Matching)</t>
        </is>
      </c>
      <c r="B1" s="30" t="n"/>
    </row>
    <row r="2" ht="15" customHeight="1" s="28">
      <c r="A2" s="31" t="n"/>
      <c r="B2" s="30" t="n"/>
    </row>
    <row r="3" ht="23.85" customHeight="1" s="28">
      <c r="A3" s="32" t="inlineStr">
        <is>
          <t>Purpose</t>
        </is>
      </c>
      <c r="B3" s="31" t="inlineStr">
        <is>
          <t>Computes transcription accuracy and identification scoring accuracy for the exact-matching scorer, with the confusion table, false accept/reject rates, confidence intervals, and error attribution.</t>
        </is>
      </c>
    </row>
    <row r="4" ht="15" customHeight="1" s="28">
      <c r="A4" s="31" t="n"/>
      <c r="B4" s="30" t="n"/>
    </row>
    <row r="5" ht="23.85" customHeight="1" s="28">
      <c r="A5" s="32" t="inlineStr">
        <is>
          <t>Colour legend</t>
        </is>
      </c>
      <c r="B5" s="31" t="inlineStr">
        <is>
          <t>Blue text = you type or paste it (inputs). Black text = formula, do not overwrite. Yellow header = input column. Blue header = calculated column.</t>
        </is>
      </c>
    </row>
    <row r="6" ht="15" customHeight="1" s="28">
      <c r="A6" s="31" t="n"/>
      <c r="B6" s="30" t="n"/>
    </row>
    <row r="7" ht="15" customHeight="1" s="28">
      <c r="A7" s="31" t="inlineStr">
        <is>
          <t>Steps</t>
        </is>
      </c>
      <c r="B7" s="30" t="n"/>
    </row>
    <row r="8" ht="15" customHeight="1" s="28">
      <c r="A8" s="32" t="inlineStr">
        <is>
          <t>1</t>
        </is>
      </c>
      <c r="B8" s="31" t="inlineStr">
        <is>
          <t>Open the Settings sheet and check the confidence level (z) and the accuracy target.</t>
        </is>
      </c>
    </row>
    <row r="9" ht="23.85" customHeight="1" s="28">
      <c r="A9" s="32" t="inlineStr">
        <is>
          <t>2</t>
        </is>
      </c>
      <c r="B9" s="31" t="inlineStr">
        <is>
          <t>On the Data sheet, delete the 10 EXAMPLE rows (rows 5–14, columns A–L only; keep the formulas in columns M–Y) and enter one row per identification answer, starting at row 5. The sheet supports up to 200 answers (rows 5–204).</t>
        </is>
      </c>
    </row>
    <row r="10" ht="23.85" customHeight="1" s="28">
      <c r="A10" s="32" t="inlineStr">
        <is>
          <t>3</t>
        </is>
      </c>
      <c r="B10" s="31" t="inlineStr">
        <is>
          <t>Column C is the answer key; column D lists accepted variants separated by | with no spaces around it (for example: magellan|f magellan). Decide the variants BEFORE data collection and do not change them afterwards.</t>
        </is>
      </c>
    </row>
    <row r="11" ht="23.85" customHeight="1" s="28">
      <c r="A11" s="32" t="inlineStr">
        <is>
          <t>4</t>
        </is>
      </c>
      <c r="B11" s="31" t="inlineStr">
        <is>
          <t>Column E is the reference transcription typed by the research team. Column F is GrAid’s raw transcription. Column G is GrAid’s text after the LLM correction step (copy column F if there is no correction step). The scoring test uses column G.</t>
        </is>
      </c>
    </row>
    <row r="12" ht="23.85" customHeight="1" s="28">
      <c r="A12" s="32" t="inlineStr">
        <is>
          <t>5</t>
        </is>
      </c>
      <c r="B12" s="31" t="inlineStr">
        <is>
          <t>Column H is the professor's judgment of the written answer (1 = correct, 0 = incorrect), made without seeing GrAid's score. Column I = 1 ONLY if GrAid routed the answer to mandatory human review (its status is needs_review), otherwise 0. Do NOT set column I from the presence of a flag: GrAid attaches an automatic 'identification_no_match' flag to every wrong answer, so counting those would make Analysis E read close to 100% and measure nothing. Report the two numbers separately in Chapter 4 if both are useful — answers routed to mandatory review, and answers carrying a flag of any kind.</t>
        </is>
      </c>
    </row>
    <row r="13" ht="23.85" customHeight="1" s="28">
      <c r="A13" s="32" t="inlineStr">
        <is>
          <t>6</t>
        </is>
      </c>
      <c r="B13" s="31" t="inlineStr">
        <is>
          <t>Columns J and K are the character errors and word errors for GrAid’s raw transcription against the reference transcription (edit distance counts). Take them from GrAid’s per-answer CER/WER export, or from your own script. Excel has no built-in edit-distance function.</t>
        </is>
      </c>
    </row>
    <row r="14" ht="23.85" customHeight="1" s="28">
      <c r="A14" s="32" t="inlineStr">
        <is>
          <t>7</t>
        </is>
      </c>
      <c r="B14" s="31" t="inlineStr">
        <is>
          <t>After reading the Summary, fill in column L for every disagreement (rows where column Y is FA or FR) by choosing a category from the drop-down list.</t>
        </is>
      </c>
    </row>
    <row r="15" ht="15" customHeight="1" s="28">
      <c r="A15" s="31" t="n"/>
      <c r="B15" s="30" t="n"/>
    </row>
    <row r="16" ht="35.05" customHeight="1" s="28">
      <c r="A16" s="32" t="inlineStr">
        <is>
          <t>Normalization rule used before comparing</t>
        </is>
      </c>
      <c r="B16" s="31" t="inlineStr">
        <is>
          <t>Text is converted to lowercase, extra and leading/trailing spaces are removed, and these characters are deleted: . , ; : ! ? " ' ’ “ ”. Hyphens are kept. Articles ("the"), plurals, and word order are NOT normalized. If your Chapter 3 rule differs, edit the formulas in columns M–Q of the Data sheet.</t>
        </is>
      </c>
    </row>
    <row r="17" ht="15" customHeight="1" s="28">
      <c r="A17" s="31" t="n"/>
      <c r="B17" s="30" t="n"/>
    </row>
    <row r="18" ht="15" customHeight="1" s="28">
      <c r="A18" s="31" t="inlineStr">
        <is>
          <t>Definitions</t>
        </is>
      </c>
      <c r="B18" s="30" t="n"/>
    </row>
    <row r="19" ht="23.85" customHeight="1" s="28">
      <c r="A19" s="32" t="inlineStr">
        <is>
          <t>Rule check (Analysis B)</t>
        </is>
      </c>
      <c r="B19" s="31" t="inlineStr">
        <is>
          <t>Exact-matching rule applied to the REFERENCE transcription, compared with the professor’s judgment. Shows the limit of exact matching itself (spelling variants, synonyms, incomplete variants list).</t>
        </is>
      </c>
    </row>
    <row r="20" ht="23.85" customHeight="1" s="28">
      <c r="A20" s="32" t="inlineStr">
        <is>
          <t>End-to-end (Analysis C)</t>
        </is>
      </c>
      <c r="B20" s="31" t="inlineStr">
        <is>
          <t>Exact-matching rule applied to GrAid’s (corrected) transcription, compared with the professor’s judgment. This is the real scoring accuracy.</t>
        </is>
      </c>
    </row>
    <row r="21" ht="23.85" customHeight="1" s="28">
      <c r="A21" s="32" t="inlineStr">
        <is>
          <t>TA / FA / FR / TR</t>
        </is>
      </c>
      <c r="B21" s="31" t="inlineStr">
        <is>
          <t>TA = true accept (GrAid gave credit, professor correct). FA = false accept (GrAid gave credit, professor incorrect). FR = false reject (GrAid gave zero, professor correct). TR = true reject.</t>
        </is>
      </c>
    </row>
    <row r="22" ht="23.85" customHeight="1" s="28">
      <c r="A22" s="32" t="inlineStr">
        <is>
          <t>Pooled CER / WER</t>
        </is>
      </c>
      <c r="B22" s="31" t="inlineStr">
        <is>
          <t>Total errors divided by total reference characters / words across all answers (one wrong word in one answer does not make the whole study 100%).</t>
        </is>
      </c>
    </row>
    <row r="23" ht="15" customHeight="1" s="28">
      <c r="A23" s="32" t="inlineStr">
        <is>
          <t>Exact-transcription rate</t>
        </is>
      </c>
      <c r="B23" s="31" t="inlineStr">
        <is>
          <t>Share of answers whose transcription equals the reference after normalization (zero word errors).</t>
        </is>
      </c>
    </row>
    <row r="24" ht="15" customHeight="1" s="28">
      <c r="A24" s="32" t="inlineStr">
        <is>
          <t>Wilson interval</t>
        </is>
      </c>
      <c r="B24" s="31" t="inlineStr">
        <is>
          <t>95% confidence interval for a proportion, computed with the z value on the Settings sheet.</t>
        </is>
      </c>
    </row>
    <row r="25" ht="15" customHeight="1" s="28">
      <c r="A25" s="31" t="n"/>
      <c r="B25" s="30" t="n"/>
    </row>
    <row r="26" ht="23.85" customHeight="1" s="28">
      <c r="A26" s="32" t="inlineStr">
        <is>
          <t>Note</t>
        </is>
      </c>
      <c r="B26" s="31" t="inlineStr">
        <is>
          <t>The 10 rows on the Data sheet are ILLUSTRATIVE EXAMPLES made up to show the expected format. They are not study data. Delete them before using the workbook.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27" min="1" max="1"/>
    <col width="18" customWidth="1" style="27" min="2" max="2"/>
    <col width="22" customWidth="1" style="27" min="3" max="3"/>
    <col width="12" customWidth="1" style="27" min="4" max="4"/>
    <col width="46" customWidth="1" style="27" min="5" max="5"/>
  </cols>
  <sheetData>
    <row r="1" ht="16.15" customHeight="1" s="28">
      <c r="A1" s="33" t="inlineStr">
        <is>
          <t>Summary of results</t>
        </is>
      </c>
    </row>
    <row r="2" ht="15" customHeight="1" s="28">
      <c r="A2" s="34" t="inlineStr">
        <is>
          <t>Values are calculated from the Data sheet. While the example rows are present, these are NOT study results.</t>
        </is>
      </c>
    </row>
    <row r="3"/>
    <row r="4" ht="15" customHeight="1" s="28">
      <c r="A4" s="35" t="inlineStr">
        <is>
          <t>Analysis A — Transcription (identification answers)</t>
        </is>
      </c>
      <c r="B4" s="36" t="n"/>
      <c r="C4" s="36" t="n"/>
      <c r="D4" s="36" t="n"/>
      <c r="E4" s="36" t="n"/>
    </row>
    <row r="5" ht="15" customHeight="1" s="28">
      <c r="A5" s="37" t="inlineStr">
        <is>
          <t>Number of answers</t>
        </is>
      </c>
      <c r="B5" s="38">
        <f>COUNTA(Data!$A$5:$A$254)</f>
        <v/>
      </c>
    </row>
    <row r="6" ht="15" customHeight="1" s="28">
      <c r="A6" s="37" t="inlineStr">
        <is>
          <t>Total reference characters</t>
        </is>
      </c>
      <c r="B6" s="39">
        <f>SUM(Data!$R$5:$R$254)</f>
        <v/>
      </c>
    </row>
    <row r="7" ht="15" customHeight="1" s="28">
      <c r="A7" s="37" t="inlineStr">
        <is>
          <t>Total character errors</t>
        </is>
      </c>
      <c r="B7" s="39">
        <f>SUM(Data!$J$5:$J$254)</f>
        <v/>
      </c>
    </row>
    <row r="8" ht="15" customHeight="1" s="28">
      <c r="A8" s="37" t="inlineStr">
        <is>
          <t>Pooled CER</t>
        </is>
      </c>
      <c r="B8" s="40">
        <f>IF(B6=0,"",B7/B6)</f>
        <v/>
      </c>
      <c r="C8" s="41" t="inlineStr">
        <is>
          <t>Character errors ÷ reference characters</t>
        </is>
      </c>
    </row>
    <row r="9" ht="15" customHeight="1" s="28">
      <c r="A9" s="37" t="inlineStr">
        <is>
          <t>Total reference words</t>
        </is>
      </c>
      <c r="B9" s="39">
        <f>SUM(Data!$S$5:$S$254)</f>
        <v/>
      </c>
    </row>
    <row r="10" ht="15" customHeight="1" s="28">
      <c r="A10" s="37" t="inlineStr">
        <is>
          <t>Total word errors</t>
        </is>
      </c>
      <c r="B10" s="39">
        <f>SUM(Data!$K$5:$K$254)</f>
        <v/>
      </c>
    </row>
    <row r="11" ht="15" customHeight="1" s="28">
      <c r="A11" s="37" t="inlineStr">
        <is>
          <t>Pooled WER</t>
        </is>
      </c>
      <c r="B11" s="40">
        <f>IF(B9=0,"",B10/B9)</f>
        <v/>
      </c>
      <c r="C11" s="41" t="inlineStr">
        <is>
          <t>Word errors ÷ reference words</t>
        </is>
      </c>
    </row>
    <row r="12" ht="15" customHeight="1" s="28">
      <c r="A12" s="37" t="inlineStr">
        <is>
          <t>Word-level accuracy (1 − WER)</t>
        </is>
      </c>
      <c r="B12" s="40">
        <f>IF(B11="","",1-B11)</f>
        <v/>
      </c>
    </row>
    <row r="13" ht="15" customHeight="1" s="28">
      <c r="A13" s="37" t="inlineStr">
        <is>
          <t>Word-level accuracy target met?</t>
        </is>
      </c>
      <c r="B13" s="37">
        <f>IF(B12="","",IF(B12&gt;=Settings!B4,"Met","Not met"))</f>
        <v/>
      </c>
      <c r="C13" s="41" t="inlineStr">
        <is>
          <t>Compares with the target on the Settings sheet</t>
        </is>
      </c>
    </row>
    <row r="14" ht="15" customHeight="1" s="28">
      <c r="A14" s="37" t="inlineStr">
        <is>
          <t>Exact-transcription rate, raw</t>
        </is>
      </c>
      <c r="B14" s="40">
        <f>IF(B5=0,"",SUM(Data!$V$5:$V$254)/B5)</f>
        <v/>
      </c>
      <c r="C14" s="41" t="inlineStr">
        <is>
          <t>Share of answers with no difference from the reference after normalization</t>
        </is>
      </c>
    </row>
    <row r="15" ht="15" customHeight="1" s="28">
      <c r="A15" s="37" t="inlineStr">
        <is>
          <t>Exact-transcription rate, after correction step</t>
        </is>
      </c>
      <c r="B15" s="40">
        <f>IF(B5=0,"",SUM(Data!$W$5:$W$254)/B5)</f>
        <v/>
      </c>
    </row>
    <row r="16" ht="15" customHeight="1" s="28">
      <c r="A16" s="37" t="inlineStr">
        <is>
          <t>Change from the correction step (percentage points)</t>
        </is>
      </c>
      <c r="B16" s="42">
        <f>IF(OR(B14="",B15=""),"",(B15-B14)*100)</f>
        <v/>
      </c>
      <c r="C16" s="41" t="inlineStr">
        <is>
          <t>Positive = correction helped; negative = correction hurt</t>
        </is>
      </c>
    </row>
    <row r="17"/>
    <row r="18" ht="15" customHeight="1" s="28">
      <c r="A18" s="35" t="inlineStr">
        <is>
          <t>Analysis B — Rule check (exact rule on the reference transcription vs professor)</t>
        </is>
      </c>
      <c r="B18" s="36" t="n"/>
      <c r="C18" s="36" t="n"/>
      <c r="D18" s="36" t="n"/>
      <c r="E18" s="36" t="n"/>
    </row>
    <row r="19" ht="15" customHeight="1" s="28">
      <c r="A19" s="43" t="n"/>
      <c r="B19" s="43" t="inlineStr">
        <is>
          <t>Professor: correct</t>
        </is>
      </c>
      <c r="C19" s="43" t="inlineStr">
        <is>
          <t>Professor: incorrect</t>
        </is>
      </c>
      <c r="D19" s="43" t="inlineStr">
        <is>
          <t>Total</t>
        </is>
      </c>
    </row>
    <row r="20" ht="15" customHeight="1" s="28">
      <c r="A20" s="44" t="inlineStr">
        <is>
          <t>GrAid: full credit</t>
        </is>
      </c>
      <c r="B20" s="45">
        <f>COUNTIF(Data!$X$5:$X$254,"TA")</f>
        <v/>
      </c>
      <c r="C20" s="45">
        <f>COUNTIF(Data!$X$5:$X$254,"FA")</f>
        <v/>
      </c>
      <c r="D20" s="45">
        <f>B20+C20</f>
        <v/>
      </c>
      <c r="E20" s="41" t="inlineStr">
        <is>
          <t>B = true accepts (TA); C = false accepts (FA)</t>
        </is>
      </c>
    </row>
    <row r="21" ht="15" customHeight="1" s="28">
      <c r="A21" s="44" t="inlineStr">
        <is>
          <t>GrAid: zero credit</t>
        </is>
      </c>
      <c r="B21" s="45">
        <f>COUNTIF(Data!$X$5:$X$254,"FR")</f>
        <v/>
      </c>
      <c r="C21" s="45">
        <f>COUNTIF(Data!$X$5:$X$254,"TR")</f>
        <v/>
      </c>
      <c r="D21" s="45">
        <f>B21+C21</f>
        <v/>
      </c>
      <c r="E21" s="41" t="inlineStr">
        <is>
          <t>B = false rejects (FR); C = true rejects (TR)</t>
        </is>
      </c>
    </row>
    <row r="22" ht="15" customHeight="1" s="28">
      <c r="A22" s="44" t="inlineStr">
        <is>
          <t>Total</t>
        </is>
      </c>
      <c r="B22" s="45">
        <f>B20+B21</f>
        <v/>
      </c>
      <c r="C22" s="45">
        <f>C20+C21</f>
        <v/>
      </c>
      <c r="D22" s="45">
        <f>D20+D21</f>
        <v/>
      </c>
    </row>
    <row r="23" ht="15" customHeight="1" s="28">
      <c r="A23" s="37" t="inlineStr">
        <is>
          <t>Number of answers scored</t>
        </is>
      </c>
      <c r="B23" s="38">
        <f>D22</f>
        <v/>
      </c>
      <c r="C23" s="41" t="inlineStr">
        <is>
          <t>Limit of exact matching itself</t>
        </is>
      </c>
    </row>
    <row r="24" ht="15" customHeight="1" s="28">
      <c r="A24" s="37" t="inlineStr">
        <is>
          <t>Accuracy = (TA + TR) ÷ all</t>
        </is>
      </c>
      <c r="B24" s="40">
        <f>IF(B23=0,"",(B20+C21)/B23)</f>
        <v/>
      </c>
    </row>
    <row r="25" ht="15" customHeight="1" s="28">
      <c r="A25" s="37" t="inlineStr">
        <is>
          <t>False accept rate = FA ÷ (FA + TR)</t>
        </is>
      </c>
      <c r="B25" s="40">
        <f>IF(C22=0,"",C20/C22)</f>
        <v/>
      </c>
      <c r="C25" s="41" t="inlineStr">
        <is>
          <t>Wrongly credited ÷ professor-incorrect answers</t>
        </is>
      </c>
    </row>
    <row r="26" ht="15" customHeight="1" s="28">
      <c r="A26" s="37" t="inlineStr">
        <is>
          <t>False reject rate = FR ÷ (FR + TA)</t>
        </is>
      </c>
      <c r="B26" s="40">
        <f>IF(B22=0,"",B21/B22)</f>
        <v/>
      </c>
      <c r="C26" s="41" t="inlineStr">
        <is>
          <t>Wrongly rejected ÷ professor-correct answers</t>
        </is>
      </c>
    </row>
    <row r="27" ht="15" customHeight="1" s="28">
      <c r="A27" s="37" t="inlineStr">
        <is>
          <t>95% CI for accuracy, lower (Wilson)</t>
        </is>
      </c>
      <c r="B27" s="40">
        <f>IF(B23=0,"",(B24+Settings!$B$2^2/(2*B23)-Settings!$B$2*SQRT(B24*(1-B24)/B23+Settings!$B$2^2/(4*B23^2)))/(1+Settings!$B$2^2/B23))</f>
        <v/>
      </c>
    </row>
    <row r="28" ht="15" customHeight="1" s="28">
      <c r="A28" s="37" t="inlineStr">
        <is>
          <t>95% CI for accuracy, upper (Wilson)</t>
        </is>
      </c>
      <c r="B28" s="40">
        <f>IF(B23=0,"",(B24+Settings!$B$2^2/(2*B23)+Settings!$B$2*SQRT(B24*(1-B24)/B23+Settings!$B$2^2/(4*B23^2)))/(1+Settings!$B$2^2/B23))</f>
        <v/>
      </c>
    </row>
    <row r="29" ht="15" customHeight="1" s="28">
      <c r="A29" s="37" t="inlineStr">
        <is>
          <t>Accuracy target met? (point estimate)</t>
        </is>
      </c>
      <c r="B29" s="37">
        <f>IF(B24="","",IF(B24&gt;=Settings!B3,"Met","Not met"))</f>
        <v/>
      </c>
      <c r="C29" s="41" t="inlineStr">
        <is>
          <t>Also check whether the CI lower bound is below the target</t>
        </is>
      </c>
    </row>
    <row r="30"/>
    <row r="31" ht="15" customHeight="1" s="28">
      <c r="A31" s="35" t="inlineStr">
        <is>
          <t>Analysis C — End-to-end (exact rule on GrAid’s corrected transcription vs professor)</t>
        </is>
      </c>
      <c r="B31" s="36" t="n"/>
      <c r="C31" s="36" t="n"/>
      <c r="D31" s="36" t="n"/>
      <c r="E31" s="36" t="n"/>
    </row>
    <row r="32" ht="15" customHeight="1" s="28">
      <c r="A32" s="43" t="n"/>
      <c r="B32" s="43" t="inlineStr">
        <is>
          <t>Professor: correct</t>
        </is>
      </c>
      <c r="C32" s="43" t="inlineStr">
        <is>
          <t>Professor: incorrect</t>
        </is>
      </c>
      <c r="D32" s="43" t="inlineStr">
        <is>
          <t>Total</t>
        </is>
      </c>
    </row>
    <row r="33" ht="15" customHeight="1" s="28">
      <c r="A33" s="44" t="inlineStr">
        <is>
          <t>GrAid: full credit</t>
        </is>
      </c>
      <c r="B33" s="45">
        <f>COUNTIF(Data!$Y$5:$Y$254,"TA")</f>
        <v/>
      </c>
      <c r="C33" s="45">
        <f>COUNTIF(Data!$Y$5:$Y$254,"FA")</f>
        <v/>
      </c>
      <c r="D33" s="45">
        <f>B33+C33</f>
        <v/>
      </c>
      <c r="E33" s="41" t="inlineStr">
        <is>
          <t>B = true accepts (TA); C = false accepts (FA)</t>
        </is>
      </c>
    </row>
    <row r="34" ht="15" customHeight="1" s="28">
      <c r="A34" s="44" t="inlineStr">
        <is>
          <t>GrAid: zero credit</t>
        </is>
      </c>
      <c r="B34" s="45">
        <f>COUNTIF(Data!$Y$5:$Y$254,"FR")</f>
        <v/>
      </c>
      <c r="C34" s="45">
        <f>COUNTIF(Data!$Y$5:$Y$254,"TR")</f>
        <v/>
      </c>
      <c r="D34" s="45">
        <f>B34+C34</f>
        <v/>
      </c>
      <c r="E34" s="41" t="inlineStr">
        <is>
          <t>B = false rejects (FR); C = true rejects (TR)</t>
        </is>
      </c>
    </row>
    <row r="35" ht="15" customHeight="1" s="28">
      <c r="A35" s="44" t="inlineStr">
        <is>
          <t>Total</t>
        </is>
      </c>
      <c r="B35" s="45">
        <f>B33+B34</f>
        <v/>
      </c>
      <c r="C35" s="45">
        <f>C33+C34</f>
        <v/>
      </c>
      <c r="D35" s="45">
        <f>D33+D34</f>
        <v/>
      </c>
    </row>
    <row r="36" ht="15" customHeight="1" s="28">
      <c r="A36" s="37" t="inlineStr">
        <is>
          <t>Number of answers scored</t>
        </is>
      </c>
      <c r="B36" s="38">
        <f>D35</f>
        <v/>
      </c>
      <c r="C36" s="41" t="inlineStr">
        <is>
          <t>Actual scoring accuracy</t>
        </is>
      </c>
    </row>
    <row r="37" ht="15" customHeight="1" s="28">
      <c r="A37" s="37" t="inlineStr">
        <is>
          <t>Accuracy = (TA + TR) ÷ all</t>
        </is>
      </c>
      <c r="B37" s="40">
        <f>IF(B36=0,"",(B33+C34)/B36)</f>
        <v/>
      </c>
    </row>
    <row r="38" ht="15" customHeight="1" s="28">
      <c r="A38" s="37" t="inlineStr">
        <is>
          <t>False accept rate = FA ÷ (FA + TR)</t>
        </is>
      </c>
      <c r="B38" s="40">
        <f>IF(C35=0,"",C33/C35)</f>
        <v/>
      </c>
      <c r="C38" s="41" t="inlineStr">
        <is>
          <t>Wrongly credited ÷ professor-incorrect answers</t>
        </is>
      </c>
    </row>
    <row r="39" ht="15" customHeight="1" s="28">
      <c r="A39" s="37" t="inlineStr">
        <is>
          <t>False reject rate = FR ÷ (FR + TA)</t>
        </is>
      </c>
      <c r="B39" s="40">
        <f>IF(B35=0,"",B34/B35)</f>
        <v/>
      </c>
      <c r="C39" s="41" t="inlineStr">
        <is>
          <t>Wrongly rejected ÷ professor-correct answers</t>
        </is>
      </c>
    </row>
    <row r="40" ht="15" customHeight="1" s="28">
      <c r="A40" s="37" t="inlineStr">
        <is>
          <t>95% CI for accuracy, lower (Wilson)</t>
        </is>
      </c>
      <c r="B40" s="40">
        <f>IF(B36=0,"",(B37+Settings!$B$2^2/(2*B36)-Settings!$B$2*SQRT(B37*(1-B37)/B36+Settings!$B$2^2/(4*B36^2)))/(1+Settings!$B$2^2/B36))</f>
        <v/>
      </c>
    </row>
    <row r="41" ht="15" customHeight="1" s="28">
      <c r="A41" s="37" t="inlineStr">
        <is>
          <t>95% CI for accuracy, upper (Wilson)</t>
        </is>
      </c>
      <c r="B41" s="40">
        <f>IF(B36=0,"",(B37+Settings!$B$2^2/(2*B36)+Settings!$B$2*SQRT(B37*(1-B37)/B36+Settings!$B$2^2/(4*B36^2)))/(1+Settings!$B$2^2/B36))</f>
        <v/>
      </c>
    </row>
    <row r="42" ht="15" customHeight="1" s="28">
      <c r="A42" s="37" t="inlineStr">
        <is>
          <t>Accuracy target met? (point estimate)</t>
        </is>
      </c>
      <c r="B42" s="37">
        <f>IF(B37="","",IF(B37&gt;=Settings!B3,"Met","Not met"))</f>
        <v/>
      </c>
      <c r="C42" s="41" t="inlineStr">
        <is>
          <t>Also check whether the CI lower bound is below the target</t>
        </is>
      </c>
    </row>
    <row r="43"/>
    <row r="44" ht="15" customHeight="1" s="28">
      <c r="A44" s="37" t="inlineStr">
        <is>
          <t>Cost of transcription errors (B − C, percentage points)</t>
        </is>
      </c>
      <c r="B44" s="42">
        <f>IF(OR(B24="",B37=""),"",(B24-B37)*100)</f>
        <v/>
      </c>
      <c r="C44" s="41" t="inlineStr">
        <is>
          <t>Accuracy lost because GrAid’s text differs from the reference</t>
        </is>
      </c>
    </row>
    <row r="45"/>
    <row r="46" ht="15" customHeight="1" s="28">
      <c r="A46" s="35" t="inlineStr">
        <is>
          <t>Analysis D — Attribution of end-to-end disagreements (column L)</t>
        </is>
      </c>
      <c r="B46" s="36" t="n"/>
      <c r="C46" s="36" t="n"/>
      <c r="D46" s="36" t="n"/>
      <c r="E46" s="36" t="n"/>
    </row>
    <row r="47" ht="15" customHeight="1" s="28">
      <c r="A47" s="43" t="inlineStr">
        <is>
          <t>Category</t>
        </is>
      </c>
      <c r="B47" s="43" t="inlineStr">
        <is>
          <t>False rejects (FR)</t>
        </is>
      </c>
      <c r="C47" s="43" t="inlineStr">
        <is>
          <t>False accepts (FA)</t>
        </is>
      </c>
      <c r="D47" s="43" t="inlineStr">
        <is>
          <t>Total</t>
        </is>
      </c>
    </row>
    <row r="48" ht="15" customHeight="1" s="28">
      <c r="A48" s="46">
        <f>Settings!A7</f>
        <v/>
      </c>
      <c r="B48" s="46">
        <f>COUNTIFS(Data!$Y$5:$Y$254,"FR",Data!$L$5:$L$254,A48)</f>
        <v/>
      </c>
      <c r="C48" s="46">
        <f>COUNTIFS(Data!$Y$5:$Y$254,"FA",Data!$L$5:$L$254,A48)</f>
        <v/>
      </c>
      <c r="D48" s="46">
        <f>B48+C48</f>
        <v/>
      </c>
    </row>
    <row r="49" ht="15" customHeight="1" s="28">
      <c r="A49" s="46">
        <f>Settings!A8</f>
        <v/>
      </c>
      <c r="B49" s="46">
        <f>COUNTIFS(Data!$Y$5:$Y$254,"FR",Data!$L$5:$L$254,A49)</f>
        <v/>
      </c>
      <c r="C49" s="46">
        <f>COUNTIFS(Data!$Y$5:$Y$254,"FA",Data!$L$5:$L$254,A49)</f>
        <v/>
      </c>
      <c r="D49" s="46">
        <f>B49+C49</f>
        <v/>
      </c>
    </row>
    <row r="50" ht="15" customHeight="1" s="28">
      <c r="A50" s="46">
        <f>Settings!A9</f>
        <v/>
      </c>
      <c r="B50" s="46">
        <f>COUNTIFS(Data!$Y$5:$Y$254,"FR",Data!$L$5:$L$254,A50)</f>
        <v/>
      </c>
      <c r="C50" s="46">
        <f>COUNTIFS(Data!$Y$5:$Y$254,"FA",Data!$L$5:$L$254,A50)</f>
        <v/>
      </c>
      <c r="D50" s="46">
        <f>B50+C50</f>
        <v/>
      </c>
    </row>
    <row r="51" ht="15" customHeight="1" s="28">
      <c r="A51" s="46">
        <f>Settings!A10</f>
        <v/>
      </c>
      <c r="B51" s="46">
        <f>COUNTIFS(Data!$Y$5:$Y$254,"FR",Data!$L$5:$L$254,A51)</f>
        <v/>
      </c>
      <c r="C51" s="46">
        <f>COUNTIFS(Data!$Y$5:$Y$254,"FA",Data!$L$5:$L$254,A51)</f>
        <v/>
      </c>
      <c r="D51" s="46">
        <f>B51+C51</f>
        <v/>
      </c>
    </row>
    <row r="52" ht="15" customHeight="1" s="28">
      <c r="A52" s="46">
        <f>Settings!A11</f>
        <v/>
      </c>
      <c r="B52" s="46">
        <f>COUNTIFS(Data!$Y$5:$Y$254,"FR",Data!$L$5:$L$254,A52)</f>
        <v/>
      </c>
      <c r="C52" s="46">
        <f>COUNTIFS(Data!$Y$5:$Y$254,"FA",Data!$L$5:$L$254,A52)</f>
        <v/>
      </c>
      <c r="D52" s="46">
        <f>B52+C52</f>
        <v/>
      </c>
    </row>
    <row r="53" ht="15" customHeight="1" s="28">
      <c r="A53" s="46">
        <f>Settings!A12</f>
        <v/>
      </c>
      <c r="B53" s="46">
        <f>COUNTIFS(Data!$Y$5:$Y$254,"FR",Data!$L$5:$L$254,A53)</f>
        <v/>
      </c>
      <c r="C53" s="46">
        <f>COUNTIFS(Data!$Y$5:$Y$254,"FA",Data!$L$5:$L$254,A53)</f>
        <v/>
      </c>
      <c r="D53" s="46">
        <f>B53+C53</f>
        <v/>
      </c>
    </row>
    <row r="54" ht="15" customHeight="1" s="28">
      <c r="A54" s="47" t="inlineStr">
        <is>
          <t>Total categorized</t>
        </is>
      </c>
      <c r="B54" s="37">
        <f>SUM(B48:B53)</f>
        <v/>
      </c>
      <c r="C54" s="37">
        <f>SUM(C48:C53)</f>
        <v/>
      </c>
      <c r="D54" s="37">
        <f>SUM(D48:D53)</f>
        <v/>
      </c>
    </row>
    <row r="55" ht="15" customHeight="1" s="28">
      <c r="A55" s="37" t="inlineStr">
        <is>
          <t>Disagreements still without a category</t>
        </is>
      </c>
      <c r="B55" s="38">
        <f>COUNTIF(Data!$Y$5:$Y$254,"FR")+COUNTIF(Data!$Y$5:$Y$254,"FA")-D54</f>
        <v/>
      </c>
      <c r="C55" s="41" t="inlineStr">
        <is>
          <t>Should be 0 before you report</t>
        </is>
      </c>
    </row>
    <row r="56"/>
    <row r="57" ht="15" customHeight="1" s="28">
      <c r="A57" s="35" t="inlineStr">
        <is>
          <t>Analysis E — Human review (answers routed to review: status = needs_review)</t>
        </is>
      </c>
      <c r="B57" s="36" t="n"/>
      <c r="C57" s="36" t="n"/>
      <c r="D57" s="36" t="n"/>
      <c r="E57" s="36" t="n"/>
    </row>
    <row r="58" ht="15" customHeight="1" s="28">
      <c r="A58" s="37" t="inlineStr">
        <is>
          <t>False rejects (end-to-end)</t>
        </is>
      </c>
      <c r="B58" s="38">
        <f>COUNTIF(Data!$Y$5:$Y$254,"FR")</f>
        <v/>
      </c>
    </row>
    <row r="59" ht="15" customHeight="1" s="28">
      <c r="A59" s="37" t="inlineStr">
        <is>
          <t>False rejects GrAid routed to review (needs_review)</t>
        </is>
      </c>
      <c r="B59" s="38">
        <f>COUNTIFS(Data!$Y$5:$Y$254,"FR",Data!$I$5:$I$254,1)</f>
        <v/>
      </c>
    </row>
    <row r="60" ht="15" customHeight="1" s="28">
      <c r="A60" s="37" t="inlineStr">
        <is>
          <t>Share of false rejects routed to review</t>
        </is>
      </c>
      <c r="B60" s="40">
        <f>IF(B58=0,"",B59/B58)</f>
        <v/>
      </c>
      <c r="C60" s="41" t="inlineStr">
        <is>
          <t>Errors the professor can still catch. Counts only mandatory review, not the automatic no-match flag every wrong answer receives.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27" min="1" max="1"/>
    <col width="12" customWidth="1" style="27" min="2" max="2"/>
    <col width="70" customWidth="1" style="27" min="3" max="3"/>
  </cols>
  <sheetData>
    <row r="1" ht="15" customHeight="1" s="28">
      <c r="A1" s="48" t="inlineStr">
        <is>
          <t>Settings</t>
        </is>
      </c>
    </row>
    <row r="2" ht="15" customHeight="1" s="28">
      <c r="A2" s="37" t="inlineStr">
        <is>
          <t>z value for confidence interval</t>
        </is>
      </c>
      <c r="B2" s="49" t="n">
        <v>1.96</v>
      </c>
      <c r="C2" s="41" t="inlineStr">
        <is>
          <t>1.96 = 95% confidence (standard normal value)</t>
        </is>
      </c>
    </row>
    <row r="3" ht="15" customHeight="1" s="28">
      <c r="A3" s="37" t="inlineStr">
        <is>
          <t>Accuracy target (identification)</t>
        </is>
      </c>
      <c r="B3" s="50" t="n">
        <v>0.95</v>
      </c>
      <c r="C3" s="41" t="inlineStr">
        <is>
          <t>From Chapter 3 (at least 95%). Change if the target is revised.</t>
        </is>
      </c>
    </row>
    <row r="4" ht="15" customHeight="1" s="28">
      <c r="A4" s="37" t="inlineStr">
        <is>
          <t>Word-level accuracy target (1 − WER)</t>
        </is>
      </c>
      <c r="B4" s="50" t="n">
        <v>0.8</v>
      </c>
      <c r="C4" s="41" t="inlineStr">
        <is>
          <t>From Chapter 3 (at least 80%).</t>
        </is>
      </c>
    </row>
    <row r="6" ht="15" customHeight="1" s="28">
      <c r="A6" s="47" t="inlineStr">
        <is>
          <t>Disagreement categories (used by the drop-down in Data column L)</t>
        </is>
      </c>
    </row>
    <row r="7" ht="15" customHeight="1" s="28">
      <c r="A7" s="51" t="inlineStr">
        <is>
          <t>Transcription error</t>
        </is>
      </c>
    </row>
    <row r="8" ht="15" customHeight="1" s="28">
      <c r="A8" s="51" t="inlineStr">
        <is>
          <t>Correction-step error</t>
        </is>
      </c>
    </row>
    <row r="9" ht="15" customHeight="1" s="28">
      <c r="A9" s="51" t="inlineStr">
        <is>
          <t>Spelling variant or synonym not on list</t>
        </is>
      </c>
    </row>
    <row r="10" ht="15" customHeight="1" s="28">
      <c r="A10" s="51" t="inlineStr">
        <is>
          <t>Professor inconsistency</t>
        </is>
      </c>
    </row>
    <row r="11" ht="15" customHeight="1" s="28">
      <c r="A11" s="51" t="inlineStr">
        <is>
          <t>Key error</t>
        </is>
      </c>
    </row>
    <row r="12" ht="15" customHeight="1" s="28">
      <c r="A12" s="51" t="inlineStr">
        <is>
          <t>Other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Y2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27" min="1" max="1"/>
    <col width="10" customWidth="1" style="27" min="2" max="2"/>
    <col width="20" customWidth="1" style="27" min="3" max="3"/>
    <col width="26" customWidth="1" style="27" min="4" max="4"/>
    <col width="22" customWidth="1" style="27" min="5" max="6"/>
    <col width="26" customWidth="1" style="27" min="7" max="7"/>
    <col width="16" customWidth="1" style="27" min="8" max="8"/>
    <col width="12" customWidth="1" style="27" min="9" max="9"/>
    <col width="13" customWidth="1" style="27" min="10" max="11"/>
    <col width="30" customWidth="1" style="27" min="12" max="12"/>
    <col width="16" customWidth="1" style="27" min="13" max="13"/>
    <col width="20" customWidth="1" style="27" min="14" max="14"/>
    <col width="18" customWidth="1" style="27" min="15" max="17"/>
    <col width="10" customWidth="1" style="27" min="18" max="19"/>
    <col width="12" customWidth="1" style="27" min="20" max="21"/>
    <col width="13" customWidth="1" style="27" min="22" max="23"/>
    <col width="11" customWidth="1" style="27" min="24" max="25"/>
  </cols>
  <sheetData>
    <row r="1" ht="15" customHeight="1" s="28">
      <c r="A1" s="48" t="inlineStr">
        <is>
          <t>Identification answers — one row per answer</t>
        </is>
      </c>
    </row>
    <row r="2" ht="15" customHeight="1" s="28">
      <c r="A2" s="34" t="inlineStr">
        <is>
          <t>Rows 5–14 are ILLUSTRATIVE EXAMPLES (not study data). Delete columns A–L of those rows and enter your data; keep formulas in M–Y. Up to 200 answers (rows 5–204).</t>
        </is>
      </c>
    </row>
    <row r="4" ht="57.75" customHeight="1" s="28">
      <c r="A4" s="52" t="inlineStr">
        <is>
          <t>Item ID</t>
        </is>
      </c>
      <c r="B4" s="52" t="inlineStr">
        <is>
          <t>Professor</t>
        </is>
      </c>
      <c r="C4" s="52" t="inlineStr">
        <is>
          <t>Answer key</t>
        </is>
      </c>
      <c r="D4" s="52" t="inlineStr">
        <is>
          <t>Accepted variants (separate with |)</t>
        </is>
      </c>
      <c r="E4" s="52" t="inlineStr">
        <is>
          <t>Reference transcription (team)</t>
        </is>
      </c>
      <c r="F4" s="52" t="inlineStr">
        <is>
          <t>GrAid raw transcription</t>
        </is>
      </c>
      <c r="G4" s="52" t="inlineStr">
        <is>
          <t>GrAid corrected transcription (used for scoring)</t>
        </is>
      </c>
      <c r="H4" s="52" t="inlineStr">
        <is>
          <t>Professor judgment (1 = correct, 0 = incorrect)</t>
        </is>
      </c>
      <c r="I4" s="52" t="inlineStr">
        <is>
          <t>Routed to review by GrAid — status = needs_review (1/0)</t>
        </is>
      </c>
      <c r="J4" s="52" t="inlineStr">
        <is>
          <t>Char errors (raw vs reference)</t>
        </is>
      </c>
      <c r="K4" s="52" t="inlineStr">
        <is>
          <t>Word errors (raw vs reference)</t>
        </is>
      </c>
      <c r="L4" s="52" t="inlineStr">
        <is>
          <t>Disagreement category</t>
        </is>
      </c>
      <c r="M4" s="53" t="inlineStr">
        <is>
          <t>Norm. key</t>
        </is>
      </c>
      <c r="N4" s="53" t="inlineStr">
        <is>
          <t>Norm. variants</t>
        </is>
      </c>
      <c r="O4" s="53" t="inlineStr">
        <is>
          <t>Norm. reference</t>
        </is>
      </c>
      <c r="P4" s="53" t="inlineStr">
        <is>
          <t>Norm. raw</t>
        </is>
      </c>
      <c r="Q4" s="53" t="inlineStr">
        <is>
          <t>Norm. corrected</t>
        </is>
      </c>
      <c r="R4" s="53" t="inlineStr">
        <is>
          <t>Reference chars</t>
        </is>
      </c>
      <c r="S4" s="53" t="inlineStr">
        <is>
          <t>Reference words</t>
        </is>
      </c>
      <c r="T4" s="53" t="inlineStr">
        <is>
          <t>Rule check: match (1/0)</t>
        </is>
      </c>
      <c r="U4" s="53" t="inlineStr">
        <is>
          <t>End-to-end: match (1/0)</t>
        </is>
      </c>
      <c r="V4" s="53" t="inlineStr">
        <is>
          <t>Exact transcription, raw (1/0)</t>
        </is>
      </c>
      <c r="W4" s="53" t="inlineStr">
        <is>
          <t>Exact transcription, corrected (1/0)</t>
        </is>
      </c>
      <c r="X4" s="53" t="inlineStr">
        <is>
          <t>Rule check class</t>
        </is>
      </c>
      <c r="Y4" s="53" t="inlineStr">
        <is>
          <t>End-to-end class</t>
        </is>
      </c>
    </row>
    <row r="5" ht="15" customHeight="1" s="28">
      <c r="A5" s="54" t="inlineStr">
        <is>
          <t>E01</t>
        </is>
      </c>
      <c r="B5" s="54" t="inlineStr">
        <is>
          <t>P1</t>
        </is>
      </c>
      <c r="C5" s="54" t="inlineStr">
        <is>
          <t>mitosis</t>
        </is>
      </c>
      <c r="D5" s="54" t="n"/>
      <c r="E5" s="54" t="inlineStr">
        <is>
          <t>mitosis</t>
        </is>
      </c>
      <c r="F5" s="54" t="inlineStr">
        <is>
          <t>mitosis</t>
        </is>
      </c>
      <c r="G5" s="54" t="inlineStr">
        <is>
          <t>mitosis</t>
        </is>
      </c>
      <c r="H5" s="54" t="n">
        <v>1</v>
      </c>
      <c r="I5" s="54" t="n">
        <v>0</v>
      </c>
      <c r="J5" s="54" t="n">
        <v>0</v>
      </c>
      <c r="K5" s="54" t="n">
        <v>0</v>
      </c>
      <c r="L5" s="54" t="n"/>
      <c r="M5" s="46">
        <f>IF($A5="","",LOWER(TRIM(SUBSTITUTE(SUBSTITUTE(SUBSTITUTE(SUBSTITUTE(SUBSTITUTE(SUBSTITUTE(SUBSTITUTE(SUBSTITUTE(SUBSTITUTE(SUBSTITUTE(SUBSTITUTE(C5,".",""),",",""),";",""),":",""),"!",""),"?",""),"""",""),"'",""),"’",""),"“",""),"”",""))))</f>
        <v/>
      </c>
      <c r="N5" s="46">
        <f>IF($A5="","",SUBSTITUTE(SUBSTITUTE(LOWER(TRIM(SUBSTITUTE(SUBSTITUTE(SUBSTITUTE(SUBSTITUTE(SUBSTITUTE(SUBSTITUTE(SUBSTITUTE(SUBSTITUTE(SUBSTITUTE(SUBSTITUTE(SUBSTITUTE(D5,".",""),",",""),";",""),":",""),"!",""),"?",""),"""",""),"'",""),"’",""),"“",""),"”","")))," |","|"),"| ","|"))</f>
        <v/>
      </c>
      <c r="O5" s="46">
        <f>IF($A5="","",LOWER(TRIM(SUBSTITUTE(SUBSTITUTE(SUBSTITUTE(SUBSTITUTE(SUBSTITUTE(SUBSTITUTE(SUBSTITUTE(SUBSTITUTE(SUBSTITUTE(SUBSTITUTE(SUBSTITUTE(E5,".",""),",",""),";",""),":",""),"!",""),"?",""),"""",""),"'",""),"’",""),"“",""),"”",""))))</f>
        <v/>
      </c>
      <c r="P5" s="46">
        <f>IF($A5="","",LOWER(TRIM(SUBSTITUTE(SUBSTITUTE(SUBSTITUTE(SUBSTITUTE(SUBSTITUTE(SUBSTITUTE(SUBSTITUTE(SUBSTITUTE(SUBSTITUTE(SUBSTITUTE(SUBSTITUTE(F5,".",""),",",""),";",""),":",""),"!",""),"?",""),"""",""),"'",""),"’",""),"“",""),"”",""))))</f>
        <v/>
      </c>
      <c r="Q5" s="46">
        <f>IF($A5="","",LOWER(TRIM(SUBSTITUTE(SUBSTITUTE(SUBSTITUTE(SUBSTITUTE(SUBSTITUTE(SUBSTITUTE(SUBSTITUTE(SUBSTITUTE(SUBSTITUTE(SUBSTITUTE(SUBSTITUTE(G5,".",""),",",""),";",""),":",""),"!",""),"?",""),"""",""),"'",""),"’",""),"“",""),"”",""))))</f>
        <v/>
      </c>
      <c r="R5" s="46">
        <f>IF($A5="","",LEN(O5))</f>
        <v/>
      </c>
      <c r="S5" s="46">
        <f>IF($A5="","",IF(O5="",0,LEN(O5)-LEN(SUBSTITUTE(O5," ",""))+1))</f>
        <v/>
      </c>
      <c r="T5" s="46">
        <f>IF($A5="","",IF(AND(O5&lt;&gt;"",OR(O5=M5,AND(N5&lt;&gt;"",ISNUMBER(FIND("|"&amp;O5&amp;"|","|"&amp;N5&amp;"|"))))),1,0))</f>
        <v/>
      </c>
      <c r="U5" s="46">
        <f>IF($A5="","",IF(AND(Q5&lt;&gt;"",OR(Q5=M5,AND(N5&lt;&gt;"",ISNUMBER(FIND("|"&amp;Q5&amp;"|","|"&amp;N5&amp;"|"))))),1,0))</f>
        <v/>
      </c>
      <c r="V5" s="46">
        <f>IF($A5="","",IF(P5=O5,1,0))</f>
        <v/>
      </c>
      <c r="W5" s="46">
        <f>IF($A5="","",IF(Q5=O5,1,0))</f>
        <v/>
      </c>
      <c r="X5" s="46">
        <f>IF(OR($A5="",$H5=""),"",IF(AND($H5=1,T5=1),"TA",IF(AND($H5=0,T5=1),"FA",IF($H5=1,"FR","TR"))))</f>
        <v/>
      </c>
      <c r="Y5" s="46">
        <f>IF(OR($A5="",$H5=""),"",IF(AND($H5=1,U5=1),"TA",IF(AND($H5=0,U5=1),"FA",IF($H5=1,"FR","TR"))))</f>
        <v/>
      </c>
    </row>
    <row r="6" ht="15" customHeight="1" s="28">
      <c r="A6" s="54" t="inlineStr">
        <is>
          <t>E02</t>
        </is>
      </c>
      <c r="B6" s="54" t="inlineStr">
        <is>
          <t>P1</t>
        </is>
      </c>
      <c r="C6" s="54" t="inlineStr">
        <is>
          <t>photosynthesis</t>
        </is>
      </c>
      <c r="D6" s="54" t="n"/>
      <c r="E6" s="54" t="inlineStr">
        <is>
          <t>photosynthesis</t>
        </is>
      </c>
      <c r="F6" s="54" t="inlineStr">
        <is>
          <t>photosinthesis</t>
        </is>
      </c>
      <c r="G6" s="54" t="inlineStr">
        <is>
          <t>photosynthesis</t>
        </is>
      </c>
      <c r="H6" s="54" t="n">
        <v>1</v>
      </c>
      <c r="I6" s="54" t="n">
        <v>0</v>
      </c>
      <c r="J6" s="54" t="n">
        <v>1</v>
      </c>
      <c r="K6" s="54" t="n">
        <v>1</v>
      </c>
      <c r="L6" s="54" t="n"/>
      <c r="M6" s="46">
        <f>IF($A6="","",LOWER(TRIM(SUBSTITUTE(SUBSTITUTE(SUBSTITUTE(SUBSTITUTE(SUBSTITUTE(SUBSTITUTE(SUBSTITUTE(SUBSTITUTE(SUBSTITUTE(SUBSTITUTE(SUBSTITUTE(C6,".",""),",",""),";",""),":",""),"!",""),"?",""),"""",""),"'",""),"’",""),"“",""),"”",""))))</f>
        <v/>
      </c>
      <c r="N6" s="46">
        <f>IF($A6="","",SUBSTITUTE(SUBSTITUTE(LOWER(TRIM(SUBSTITUTE(SUBSTITUTE(SUBSTITUTE(SUBSTITUTE(SUBSTITUTE(SUBSTITUTE(SUBSTITUTE(SUBSTITUTE(SUBSTITUTE(SUBSTITUTE(SUBSTITUTE(D6,".",""),",",""),";",""),":",""),"!",""),"?",""),"""",""),"'",""),"’",""),"“",""),"”","")))," |","|"),"| ","|"))</f>
        <v/>
      </c>
      <c r="O6" s="46">
        <f>IF($A6="","",LOWER(TRIM(SUBSTITUTE(SUBSTITUTE(SUBSTITUTE(SUBSTITUTE(SUBSTITUTE(SUBSTITUTE(SUBSTITUTE(SUBSTITUTE(SUBSTITUTE(SUBSTITUTE(SUBSTITUTE(E6,".",""),",",""),";",""),":",""),"!",""),"?",""),"""",""),"'",""),"’",""),"“",""),"”",""))))</f>
        <v/>
      </c>
      <c r="P6" s="46">
        <f>IF($A6="","",LOWER(TRIM(SUBSTITUTE(SUBSTITUTE(SUBSTITUTE(SUBSTITUTE(SUBSTITUTE(SUBSTITUTE(SUBSTITUTE(SUBSTITUTE(SUBSTITUTE(SUBSTITUTE(SUBSTITUTE(F6,".",""),",",""),";",""),":",""),"!",""),"?",""),"""",""),"'",""),"’",""),"“",""),"”",""))))</f>
        <v/>
      </c>
      <c r="Q6" s="46">
        <f>IF($A6="","",LOWER(TRIM(SUBSTITUTE(SUBSTITUTE(SUBSTITUTE(SUBSTITUTE(SUBSTITUTE(SUBSTITUTE(SUBSTITUTE(SUBSTITUTE(SUBSTITUTE(SUBSTITUTE(SUBSTITUTE(G6,".",""),",",""),";",""),":",""),"!",""),"?",""),"""",""),"'",""),"’",""),"“",""),"”",""))))</f>
        <v/>
      </c>
      <c r="R6" s="46">
        <f>IF($A6="","",LEN(O6))</f>
        <v/>
      </c>
      <c r="S6" s="46">
        <f>IF($A6="","",IF(O6="",0,LEN(O6)-LEN(SUBSTITUTE(O6," ",""))+1))</f>
        <v/>
      </c>
      <c r="T6" s="46">
        <f>IF($A6="","",IF(AND(O6&lt;&gt;"",OR(O6=M6,AND(N6&lt;&gt;"",ISNUMBER(FIND("|"&amp;O6&amp;"|","|"&amp;N6&amp;"|"))))),1,0))</f>
        <v/>
      </c>
      <c r="U6" s="46">
        <f>IF($A6="","",IF(AND(Q6&lt;&gt;"",OR(Q6=M6,AND(N6&lt;&gt;"",ISNUMBER(FIND("|"&amp;Q6&amp;"|","|"&amp;N6&amp;"|"))))),1,0))</f>
        <v/>
      </c>
      <c r="V6" s="46">
        <f>IF($A6="","",IF(P6=O6,1,0))</f>
        <v/>
      </c>
      <c r="W6" s="46">
        <f>IF($A6="","",IF(Q6=O6,1,0))</f>
        <v/>
      </c>
      <c r="X6" s="46">
        <f>IF(OR($A6="",$H6=""),"",IF(AND($H6=1,T6=1),"TA",IF(AND($H6=0,T6=1),"FA",IF($H6=1,"FR","TR"))))</f>
        <v/>
      </c>
      <c r="Y6" s="46">
        <f>IF(OR($A6="",$H6=""),"",IF(AND($H6=1,U6=1),"TA",IF(AND($H6=0,U6=1),"FA",IF($H6=1,"FR","TR"))))</f>
        <v/>
      </c>
    </row>
    <row r="7" ht="15" customHeight="1" s="28">
      <c r="A7" s="54" t="inlineStr">
        <is>
          <t>E03</t>
        </is>
      </c>
      <c r="B7" s="54" t="inlineStr">
        <is>
          <t>P1</t>
        </is>
      </c>
      <c r="C7" s="54" t="inlineStr">
        <is>
          <t>democracy</t>
        </is>
      </c>
      <c r="D7" s="54" t="n"/>
      <c r="E7" s="54" t="inlineStr">
        <is>
          <t>democracy</t>
        </is>
      </c>
      <c r="F7" s="54" t="inlineStr">
        <is>
          <t>democrasy</t>
        </is>
      </c>
      <c r="G7" s="54" t="inlineStr">
        <is>
          <t>democrasy</t>
        </is>
      </c>
      <c r="H7" s="54" t="n">
        <v>1</v>
      </c>
      <c r="I7" s="54" t="n">
        <v>0</v>
      </c>
      <c r="J7" s="54" t="n">
        <v>1</v>
      </c>
      <c r="K7" s="54" t="n">
        <v>1</v>
      </c>
      <c r="L7" s="54" t="inlineStr">
        <is>
          <t>Transcription error</t>
        </is>
      </c>
      <c r="M7" s="46">
        <f>IF($A7="","",LOWER(TRIM(SUBSTITUTE(SUBSTITUTE(SUBSTITUTE(SUBSTITUTE(SUBSTITUTE(SUBSTITUTE(SUBSTITUTE(SUBSTITUTE(SUBSTITUTE(SUBSTITUTE(SUBSTITUTE(C7,".",""),",",""),";",""),":",""),"!",""),"?",""),"""",""),"'",""),"’",""),"“",""),"”",""))))</f>
        <v/>
      </c>
      <c r="N7" s="46">
        <f>IF($A7="","",SUBSTITUTE(SUBSTITUTE(LOWER(TRIM(SUBSTITUTE(SUBSTITUTE(SUBSTITUTE(SUBSTITUTE(SUBSTITUTE(SUBSTITUTE(SUBSTITUTE(SUBSTITUTE(SUBSTITUTE(SUBSTITUTE(SUBSTITUTE(D7,".",""),",",""),";",""),":",""),"!",""),"?",""),"""",""),"'",""),"’",""),"“",""),"”","")))," |","|"),"| ","|"))</f>
        <v/>
      </c>
      <c r="O7" s="46">
        <f>IF($A7="","",LOWER(TRIM(SUBSTITUTE(SUBSTITUTE(SUBSTITUTE(SUBSTITUTE(SUBSTITUTE(SUBSTITUTE(SUBSTITUTE(SUBSTITUTE(SUBSTITUTE(SUBSTITUTE(SUBSTITUTE(E7,".",""),",",""),";",""),":",""),"!",""),"?",""),"""",""),"'",""),"’",""),"“",""),"”",""))))</f>
        <v/>
      </c>
      <c r="P7" s="46">
        <f>IF($A7="","",LOWER(TRIM(SUBSTITUTE(SUBSTITUTE(SUBSTITUTE(SUBSTITUTE(SUBSTITUTE(SUBSTITUTE(SUBSTITUTE(SUBSTITUTE(SUBSTITUTE(SUBSTITUTE(SUBSTITUTE(F7,".",""),",",""),";",""),":",""),"!",""),"?",""),"""",""),"'",""),"’",""),"“",""),"”",""))))</f>
        <v/>
      </c>
      <c r="Q7" s="46">
        <f>IF($A7="","",LOWER(TRIM(SUBSTITUTE(SUBSTITUTE(SUBSTITUTE(SUBSTITUTE(SUBSTITUTE(SUBSTITUTE(SUBSTITUTE(SUBSTITUTE(SUBSTITUTE(SUBSTITUTE(SUBSTITUTE(G7,".",""),",",""),";",""),":",""),"!",""),"?",""),"""",""),"'",""),"’",""),"“",""),"”",""))))</f>
        <v/>
      </c>
      <c r="R7" s="46">
        <f>IF($A7="","",LEN(O7))</f>
        <v/>
      </c>
      <c r="S7" s="46">
        <f>IF($A7="","",IF(O7="",0,LEN(O7)-LEN(SUBSTITUTE(O7," ",""))+1))</f>
        <v/>
      </c>
      <c r="T7" s="46">
        <f>IF($A7="","",IF(AND(O7&lt;&gt;"",OR(O7=M7,AND(N7&lt;&gt;"",ISNUMBER(FIND("|"&amp;O7&amp;"|","|"&amp;N7&amp;"|"))))),1,0))</f>
        <v/>
      </c>
      <c r="U7" s="46">
        <f>IF($A7="","",IF(AND(Q7&lt;&gt;"",OR(Q7=M7,AND(N7&lt;&gt;"",ISNUMBER(FIND("|"&amp;Q7&amp;"|","|"&amp;N7&amp;"|"))))),1,0))</f>
        <v/>
      </c>
      <c r="V7" s="46">
        <f>IF($A7="","",IF(P7=O7,1,0))</f>
        <v/>
      </c>
      <c r="W7" s="46">
        <f>IF($A7="","",IF(Q7=O7,1,0))</f>
        <v/>
      </c>
      <c r="X7" s="46">
        <f>IF(OR($A7="",$H7=""),"",IF(AND($H7=1,T7=1),"TA",IF(AND($H7=0,T7=1),"FA",IF($H7=1,"FR","TR"))))</f>
        <v/>
      </c>
      <c r="Y7" s="46">
        <f>IF(OR($A7="",$H7=""),"",IF(AND($H7=1,U7=1),"TA",IF(AND($H7=0,U7=1),"FA",IF($H7=1,"FR","TR"))))</f>
        <v/>
      </c>
    </row>
    <row r="8" ht="15" customHeight="1" s="28">
      <c r="A8" s="54" t="inlineStr">
        <is>
          <t>E04</t>
        </is>
      </c>
      <c r="B8" s="54" t="inlineStr">
        <is>
          <t>P2</t>
        </is>
      </c>
      <c r="C8" s="54" t="inlineStr">
        <is>
          <t>Ferdinand Magellan</t>
        </is>
      </c>
      <c r="D8" s="54" t="inlineStr">
        <is>
          <t>magellan|f magellan</t>
        </is>
      </c>
      <c r="E8" s="54" t="inlineStr">
        <is>
          <t>Magellan</t>
        </is>
      </c>
      <c r="F8" s="54" t="inlineStr">
        <is>
          <t>Magellan</t>
        </is>
      </c>
      <c r="G8" s="54" t="inlineStr">
        <is>
          <t>Magellan</t>
        </is>
      </c>
      <c r="H8" s="54" t="n">
        <v>1</v>
      </c>
      <c r="I8" s="54" t="n">
        <v>0</v>
      </c>
      <c r="J8" s="54" t="n">
        <v>0</v>
      </c>
      <c r="K8" s="54" t="n">
        <v>0</v>
      </c>
      <c r="L8" s="54" t="n"/>
      <c r="M8" s="46">
        <f>IF($A8="","",LOWER(TRIM(SUBSTITUTE(SUBSTITUTE(SUBSTITUTE(SUBSTITUTE(SUBSTITUTE(SUBSTITUTE(SUBSTITUTE(SUBSTITUTE(SUBSTITUTE(SUBSTITUTE(SUBSTITUTE(C8,".",""),",",""),";",""),":",""),"!",""),"?",""),"""",""),"'",""),"’",""),"“",""),"”",""))))</f>
        <v/>
      </c>
      <c r="N8" s="46">
        <f>IF($A8="","",SUBSTITUTE(SUBSTITUTE(LOWER(TRIM(SUBSTITUTE(SUBSTITUTE(SUBSTITUTE(SUBSTITUTE(SUBSTITUTE(SUBSTITUTE(SUBSTITUTE(SUBSTITUTE(SUBSTITUTE(SUBSTITUTE(SUBSTITUTE(D8,".",""),",",""),";",""),":",""),"!",""),"?",""),"""",""),"'",""),"’",""),"“",""),"”","")))," |","|"),"| ","|"))</f>
        <v/>
      </c>
      <c r="O8" s="46">
        <f>IF($A8="","",LOWER(TRIM(SUBSTITUTE(SUBSTITUTE(SUBSTITUTE(SUBSTITUTE(SUBSTITUTE(SUBSTITUTE(SUBSTITUTE(SUBSTITUTE(SUBSTITUTE(SUBSTITUTE(SUBSTITUTE(E8,".",""),",",""),";",""),":",""),"!",""),"?",""),"""",""),"'",""),"’",""),"“",""),"”",""))))</f>
        <v/>
      </c>
      <c r="P8" s="46">
        <f>IF($A8="","",LOWER(TRIM(SUBSTITUTE(SUBSTITUTE(SUBSTITUTE(SUBSTITUTE(SUBSTITUTE(SUBSTITUTE(SUBSTITUTE(SUBSTITUTE(SUBSTITUTE(SUBSTITUTE(SUBSTITUTE(F8,".",""),",",""),";",""),":",""),"!",""),"?",""),"""",""),"'",""),"’",""),"“",""),"”",""))))</f>
        <v/>
      </c>
      <c r="Q8" s="46">
        <f>IF($A8="","",LOWER(TRIM(SUBSTITUTE(SUBSTITUTE(SUBSTITUTE(SUBSTITUTE(SUBSTITUTE(SUBSTITUTE(SUBSTITUTE(SUBSTITUTE(SUBSTITUTE(SUBSTITUTE(SUBSTITUTE(G8,".",""),",",""),";",""),":",""),"!",""),"?",""),"""",""),"'",""),"’",""),"“",""),"”",""))))</f>
        <v/>
      </c>
      <c r="R8" s="46">
        <f>IF($A8="","",LEN(O8))</f>
        <v/>
      </c>
      <c r="S8" s="46">
        <f>IF($A8="","",IF(O8="",0,LEN(O8)-LEN(SUBSTITUTE(O8," ",""))+1))</f>
        <v/>
      </c>
      <c r="T8" s="46">
        <f>IF($A8="","",IF(AND(O8&lt;&gt;"",OR(O8=M8,AND(N8&lt;&gt;"",ISNUMBER(FIND("|"&amp;O8&amp;"|","|"&amp;N8&amp;"|"))))),1,0))</f>
        <v/>
      </c>
      <c r="U8" s="46">
        <f>IF($A8="","",IF(AND(Q8&lt;&gt;"",OR(Q8=M8,AND(N8&lt;&gt;"",ISNUMBER(FIND("|"&amp;Q8&amp;"|","|"&amp;N8&amp;"|"))))),1,0))</f>
        <v/>
      </c>
      <c r="V8" s="46">
        <f>IF($A8="","",IF(P8=O8,1,0))</f>
        <v/>
      </c>
      <c r="W8" s="46">
        <f>IF($A8="","",IF(Q8=O8,1,0))</f>
        <v/>
      </c>
      <c r="X8" s="46">
        <f>IF(OR($A8="",$H8=""),"",IF(AND($H8=1,T8=1),"TA",IF(AND($H8=0,T8=1),"FA",IF($H8=1,"FR","TR"))))</f>
        <v/>
      </c>
      <c r="Y8" s="46">
        <f>IF(OR($A8="",$H8=""),"",IF(AND($H8=1,U8=1),"TA",IF(AND($H8=0,U8=1),"FA",IF($H8=1,"FR","TR"))))</f>
        <v/>
      </c>
    </row>
    <row r="9" ht="15" customHeight="1" s="28">
      <c r="A9" s="54" t="inlineStr">
        <is>
          <t>E05</t>
        </is>
      </c>
      <c r="B9" s="54" t="inlineStr">
        <is>
          <t>P2</t>
        </is>
      </c>
      <c r="C9" s="54" t="inlineStr">
        <is>
          <t>meiosis</t>
        </is>
      </c>
      <c r="D9" s="54" t="n"/>
      <c r="E9" s="54" t="inlineStr">
        <is>
          <t>mitosis</t>
        </is>
      </c>
      <c r="F9" s="54" t="inlineStr">
        <is>
          <t>mitosis</t>
        </is>
      </c>
      <c r="G9" s="54" t="inlineStr">
        <is>
          <t>mitosis</t>
        </is>
      </c>
      <c r="H9" s="54" t="n">
        <v>0</v>
      </c>
      <c r="I9" s="54" t="n">
        <v>0</v>
      </c>
      <c r="J9" s="54" t="n">
        <v>0</v>
      </c>
      <c r="K9" s="54" t="n">
        <v>0</v>
      </c>
      <c r="L9" s="54" t="n"/>
      <c r="M9" s="46">
        <f>IF($A9="","",LOWER(TRIM(SUBSTITUTE(SUBSTITUTE(SUBSTITUTE(SUBSTITUTE(SUBSTITUTE(SUBSTITUTE(SUBSTITUTE(SUBSTITUTE(SUBSTITUTE(SUBSTITUTE(SUBSTITUTE(C9,".",""),",",""),";",""),":",""),"!",""),"?",""),"""",""),"'",""),"’",""),"“",""),"”",""))))</f>
        <v/>
      </c>
      <c r="N9" s="46">
        <f>IF($A9="","",SUBSTITUTE(SUBSTITUTE(LOWER(TRIM(SUBSTITUTE(SUBSTITUTE(SUBSTITUTE(SUBSTITUTE(SUBSTITUTE(SUBSTITUTE(SUBSTITUTE(SUBSTITUTE(SUBSTITUTE(SUBSTITUTE(SUBSTITUTE(D9,".",""),",",""),";",""),":",""),"!",""),"?",""),"""",""),"'",""),"’",""),"“",""),"”","")))," |","|"),"| ","|"))</f>
        <v/>
      </c>
      <c r="O9" s="46">
        <f>IF($A9="","",LOWER(TRIM(SUBSTITUTE(SUBSTITUTE(SUBSTITUTE(SUBSTITUTE(SUBSTITUTE(SUBSTITUTE(SUBSTITUTE(SUBSTITUTE(SUBSTITUTE(SUBSTITUTE(SUBSTITUTE(E9,".",""),",",""),";",""),":",""),"!",""),"?",""),"""",""),"'",""),"’",""),"“",""),"”",""))))</f>
        <v/>
      </c>
      <c r="P9" s="46">
        <f>IF($A9="","",LOWER(TRIM(SUBSTITUTE(SUBSTITUTE(SUBSTITUTE(SUBSTITUTE(SUBSTITUTE(SUBSTITUTE(SUBSTITUTE(SUBSTITUTE(SUBSTITUTE(SUBSTITUTE(SUBSTITUTE(F9,".",""),",",""),";",""),":",""),"!",""),"?",""),"""",""),"'",""),"’",""),"“",""),"”",""))))</f>
        <v/>
      </c>
      <c r="Q9" s="46">
        <f>IF($A9="","",LOWER(TRIM(SUBSTITUTE(SUBSTITUTE(SUBSTITUTE(SUBSTITUTE(SUBSTITUTE(SUBSTITUTE(SUBSTITUTE(SUBSTITUTE(SUBSTITUTE(SUBSTITUTE(SUBSTITUTE(G9,".",""),",",""),";",""),":",""),"!",""),"?",""),"""",""),"'",""),"’",""),"“",""),"”",""))))</f>
        <v/>
      </c>
      <c r="R9" s="46">
        <f>IF($A9="","",LEN(O9))</f>
        <v/>
      </c>
      <c r="S9" s="46">
        <f>IF($A9="","",IF(O9="",0,LEN(O9)-LEN(SUBSTITUTE(O9," ",""))+1))</f>
        <v/>
      </c>
      <c r="T9" s="46">
        <f>IF($A9="","",IF(AND(O9&lt;&gt;"",OR(O9=M9,AND(N9&lt;&gt;"",ISNUMBER(FIND("|"&amp;O9&amp;"|","|"&amp;N9&amp;"|"))))),1,0))</f>
        <v/>
      </c>
      <c r="U9" s="46">
        <f>IF($A9="","",IF(AND(Q9&lt;&gt;"",OR(Q9=M9,AND(N9&lt;&gt;"",ISNUMBER(FIND("|"&amp;Q9&amp;"|","|"&amp;N9&amp;"|"))))),1,0))</f>
        <v/>
      </c>
      <c r="V9" s="46">
        <f>IF($A9="","",IF(P9=O9,1,0))</f>
        <v/>
      </c>
      <c r="W9" s="46">
        <f>IF($A9="","",IF(Q9=O9,1,0))</f>
        <v/>
      </c>
      <c r="X9" s="46">
        <f>IF(OR($A9="",$H9=""),"",IF(AND($H9=1,T9=1),"TA",IF(AND($H9=0,T9=1),"FA",IF($H9=1,"FR","TR"))))</f>
        <v/>
      </c>
      <c r="Y9" s="46">
        <f>IF(OR($A9="",$H9=""),"",IF(AND($H9=1,U9=1),"TA",IF(AND($H9=0,U9=1),"FA",IF($H9=1,"FR","TR"))))</f>
        <v/>
      </c>
    </row>
    <row r="10" ht="15" customHeight="1" s="28">
      <c r="A10" s="54" t="inlineStr">
        <is>
          <t>E06</t>
        </is>
      </c>
      <c r="B10" s="54" t="inlineStr">
        <is>
          <t>P2</t>
        </is>
      </c>
      <c r="C10" s="54" t="inlineStr">
        <is>
          <t>osmosis</t>
        </is>
      </c>
      <c r="D10" s="54" t="n"/>
      <c r="E10" s="54" t="inlineStr">
        <is>
          <t>osmosis</t>
        </is>
      </c>
      <c r="F10" s="54" t="n"/>
      <c r="G10" s="54" t="n"/>
      <c r="H10" s="54" t="n">
        <v>1</v>
      </c>
      <c r="I10" s="54" t="n">
        <v>1</v>
      </c>
      <c r="J10" s="54" t="n">
        <v>7</v>
      </c>
      <c r="K10" s="54" t="n">
        <v>1</v>
      </c>
      <c r="L10" s="54" t="inlineStr">
        <is>
          <t>Transcription error</t>
        </is>
      </c>
      <c r="M10" s="46">
        <f>IF($A10="","",LOWER(TRIM(SUBSTITUTE(SUBSTITUTE(SUBSTITUTE(SUBSTITUTE(SUBSTITUTE(SUBSTITUTE(SUBSTITUTE(SUBSTITUTE(SUBSTITUTE(SUBSTITUTE(SUBSTITUTE(C10,".",""),",",""),";",""),":",""),"!",""),"?",""),"""",""),"'",""),"’",""),"“",""),"”",""))))</f>
        <v/>
      </c>
      <c r="N10" s="46">
        <f>IF($A10="","",SUBSTITUTE(SUBSTITUTE(LOWER(TRIM(SUBSTITUTE(SUBSTITUTE(SUBSTITUTE(SUBSTITUTE(SUBSTITUTE(SUBSTITUTE(SUBSTITUTE(SUBSTITUTE(SUBSTITUTE(SUBSTITUTE(SUBSTITUTE(D10,".",""),",",""),";",""),":",""),"!",""),"?",""),"""",""),"'",""),"’",""),"“",""),"”","")))," |","|"),"| ","|"))</f>
        <v/>
      </c>
      <c r="O10" s="46">
        <f>IF($A10="","",LOWER(TRIM(SUBSTITUTE(SUBSTITUTE(SUBSTITUTE(SUBSTITUTE(SUBSTITUTE(SUBSTITUTE(SUBSTITUTE(SUBSTITUTE(SUBSTITUTE(SUBSTITUTE(SUBSTITUTE(E10,".",""),",",""),";",""),":",""),"!",""),"?",""),"""",""),"'",""),"’",""),"“",""),"”",""))))</f>
        <v/>
      </c>
      <c r="P10" s="46">
        <f>IF($A10="","",LOWER(TRIM(SUBSTITUTE(SUBSTITUTE(SUBSTITUTE(SUBSTITUTE(SUBSTITUTE(SUBSTITUTE(SUBSTITUTE(SUBSTITUTE(SUBSTITUTE(SUBSTITUTE(SUBSTITUTE(F10,".",""),",",""),";",""),":",""),"!",""),"?",""),"""",""),"'",""),"’",""),"“",""),"”",""))))</f>
        <v/>
      </c>
      <c r="Q10" s="46">
        <f>IF($A10="","",LOWER(TRIM(SUBSTITUTE(SUBSTITUTE(SUBSTITUTE(SUBSTITUTE(SUBSTITUTE(SUBSTITUTE(SUBSTITUTE(SUBSTITUTE(SUBSTITUTE(SUBSTITUTE(SUBSTITUTE(G10,".",""),",",""),";",""),":",""),"!",""),"?",""),"""",""),"'",""),"’",""),"“",""),"”",""))))</f>
        <v/>
      </c>
      <c r="R10" s="46">
        <f>IF($A10="","",LEN(O10))</f>
        <v/>
      </c>
      <c r="S10" s="46">
        <f>IF($A10="","",IF(O10="",0,LEN(O10)-LEN(SUBSTITUTE(O10," ",""))+1))</f>
        <v/>
      </c>
      <c r="T10" s="46">
        <f>IF($A10="","",IF(AND(O10&lt;&gt;"",OR(O10=M10,AND(N10&lt;&gt;"",ISNUMBER(FIND("|"&amp;O10&amp;"|","|"&amp;N10&amp;"|"))))),1,0))</f>
        <v/>
      </c>
      <c r="U10" s="46">
        <f>IF($A10="","",IF(AND(Q10&lt;&gt;"",OR(Q10=M10,AND(N10&lt;&gt;"",ISNUMBER(FIND("|"&amp;Q10&amp;"|","|"&amp;N10&amp;"|"))))),1,0))</f>
        <v/>
      </c>
      <c r="V10" s="46">
        <f>IF($A10="","",IF(P10=O10,1,0))</f>
        <v/>
      </c>
      <c r="W10" s="46">
        <f>IF($A10="","",IF(Q10=O10,1,0))</f>
        <v/>
      </c>
      <c r="X10" s="46">
        <f>IF(OR($A10="",$H10=""),"",IF(AND($H10=1,T10=1),"TA",IF(AND($H10=0,T10=1),"FA",IF($H10=1,"FR","TR"))))</f>
        <v/>
      </c>
      <c r="Y10" s="46">
        <f>IF(OR($A10="",$H10=""),"",IF(AND($H10=1,U10=1),"TA",IF(AND($H10=0,U10=1),"FA",IF($H10=1,"FR","TR"))))</f>
        <v/>
      </c>
    </row>
    <row r="11" ht="15" customHeight="1" s="28">
      <c r="A11" s="54" t="inlineStr">
        <is>
          <t>E07</t>
        </is>
      </c>
      <c r="B11" s="54" t="inlineStr">
        <is>
          <t>P3</t>
        </is>
      </c>
      <c r="C11" s="54" t="inlineStr">
        <is>
          <t>supply and demand</t>
        </is>
      </c>
      <c r="D11" s="54" t="n"/>
      <c r="E11" s="54" t="inlineStr">
        <is>
          <t>supply and demand</t>
        </is>
      </c>
      <c r="F11" s="54" t="inlineStr">
        <is>
          <t>supply and demond</t>
        </is>
      </c>
      <c r="G11" s="54" t="inlineStr">
        <is>
          <t>supply and demond</t>
        </is>
      </c>
      <c r="H11" s="54" t="n">
        <v>1</v>
      </c>
      <c r="I11" s="54" t="n">
        <v>0</v>
      </c>
      <c r="J11" s="54" t="n">
        <v>1</v>
      </c>
      <c r="K11" s="54" t="n">
        <v>1</v>
      </c>
      <c r="L11" s="54" t="inlineStr">
        <is>
          <t>Transcription error</t>
        </is>
      </c>
      <c r="M11" s="46">
        <f>IF($A11="","",LOWER(TRIM(SUBSTITUTE(SUBSTITUTE(SUBSTITUTE(SUBSTITUTE(SUBSTITUTE(SUBSTITUTE(SUBSTITUTE(SUBSTITUTE(SUBSTITUTE(SUBSTITUTE(SUBSTITUTE(C11,".",""),",",""),";",""),":",""),"!",""),"?",""),"""",""),"'",""),"’",""),"“",""),"”",""))))</f>
        <v/>
      </c>
      <c r="N11" s="46">
        <f>IF($A11="","",SUBSTITUTE(SUBSTITUTE(LOWER(TRIM(SUBSTITUTE(SUBSTITUTE(SUBSTITUTE(SUBSTITUTE(SUBSTITUTE(SUBSTITUTE(SUBSTITUTE(SUBSTITUTE(SUBSTITUTE(SUBSTITUTE(SUBSTITUTE(D11,".",""),",",""),";",""),":",""),"!",""),"?",""),"""",""),"'",""),"’",""),"“",""),"”","")))," |","|"),"| ","|"))</f>
        <v/>
      </c>
      <c r="O11" s="46">
        <f>IF($A11="","",LOWER(TRIM(SUBSTITUTE(SUBSTITUTE(SUBSTITUTE(SUBSTITUTE(SUBSTITUTE(SUBSTITUTE(SUBSTITUTE(SUBSTITUTE(SUBSTITUTE(SUBSTITUTE(SUBSTITUTE(E11,".",""),",",""),";",""),":",""),"!",""),"?",""),"""",""),"'",""),"’",""),"“",""),"”",""))))</f>
        <v/>
      </c>
      <c r="P11" s="46">
        <f>IF($A11="","",LOWER(TRIM(SUBSTITUTE(SUBSTITUTE(SUBSTITUTE(SUBSTITUTE(SUBSTITUTE(SUBSTITUTE(SUBSTITUTE(SUBSTITUTE(SUBSTITUTE(SUBSTITUTE(SUBSTITUTE(F11,".",""),",",""),";",""),":",""),"!",""),"?",""),"""",""),"'",""),"’",""),"“",""),"”",""))))</f>
        <v/>
      </c>
      <c r="Q11" s="46">
        <f>IF($A11="","",LOWER(TRIM(SUBSTITUTE(SUBSTITUTE(SUBSTITUTE(SUBSTITUTE(SUBSTITUTE(SUBSTITUTE(SUBSTITUTE(SUBSTITUTE(SUBSTITUTE(SUBSTITUTE(SUBSTITUTE(G11,".",""),",",""),";",""),":",""),"!",""),"?",""),"""",""),"'",""),"’",""),"“",""),"”",""))))</f>
        <v/>
      </c>
      <c r="R11" s="46">
        <f>IF($A11="","",LEN(O11))</f>
        <v/>
      </c>
      <c r="S11" s="46">
        <f>IF($A11="","",IF(O11="",0,LEN(O11)-LEN(SUBSTITUTE(O11," ",""))+1))</f>
        <v/>
      </c>
      <c r="T11" s="46">
        <f>IF($A11="","",IF(AND(O11&lt;&gt;"",OR(O11=M11,AND(N11&lt;&gt;"",ISNUMBER(FIND("|"&amp;O11&amp;"|","|"&amp;N11&amp;"|"))))),1,0))</f>
        <v/>
      </c>
      <c r="U11" s="46">
        <f>IF($A11="","",IF(AND(Q11&lt;&gt;"",OR(Q11=M11,AND(N11&lt;&gt;"",ISNUMBER(FIND("|"&amp;Q11&amp;"|","|"&amp;N11&amp;"|"))))),1,0))</f>
        <v/>
      </c>
      <c r="V11" s="46">
        <f>IF($A11="","",IF(P11=O11,1,0))</f>
        <v/>
      </c>
      <c r="W11" s="46">
        <f>IF($A11="","",IF(Q11=O11,1,0))</f>
        <v/>
      </c>
      <c r="X11" s="46">
        <f>IF(OR($A11="",$H11=""),"",IF(AND($H11=1,T11=1),"TA",IF(AND($H11=0,T11=1),"FA",IF($H11=1,"FR","TR"))))</f>
        <v/>
      </c>
      <c r="Y11" s="46">
        <f>IF(OR($A11="",$H11=""),"",IF(AND($H11=1,U11=1),"TA",IF(AND($H11=0,U11=1),"FA",IF($H11=1,"FR","TR"))))</f>
        <v/>
      </c>
    </row>
    <row r="12" ht="15" customHeight="1" s="28">
      <c r="A12" s="54" t="inlineStr">
        <is>
          <t>E08</t>
        </is>
      </c>
      <c r="B12" s="54" t="inlineStr">
        <is>
          <t>P3</t>
        </is>
      </c>
      <c r="C12" s="54" t="inlineStr">
        <is>
          <t>Rizal</t>
        </is>
      </c>
      <c r="D12" s="54" t="inlineStr">
        <is>
          <t>jose rizal|dr jose rizal</t>
        </is>
      </c>
      <c r="E12" s="54" t="inlineStr">
        <is>
          <t>Jose Rizal</t>
        </is>
      </c>
      <c r="F12" s="54" t="inlineStr">
        <is>
          <t>Jose Rizal</t>
        </is>
      </c>
      <c r="G12" s="54" t="inlineStr">
        <is>
          <t>Jose Rizal</t>
        </is>
      </c>
      <c r="H12" s="54" t="n">
        <v>1</v>
      </c>
      <c r="I12" s="54" t="n">
        <v>0</v>
      </c>
      <c r="J12" s="54" t="n">
        <v>0</v>
      </c>
      <c r="K12" s="54" t="n">
        <v>0</v>
      </c>
      <c r="L12" s="54" t="n"/>
      <c r="M12" s="46">
        <f>IF($A12="","",LOWER(TRIM(SUBSTITUTE(SUBSTITUTE(SUBSTITUTE(SUBSTITUTE(SUBSTITUTE(SUBSTITUTE(SUBSTITUTE(SUBSTITUTE(SUBSTITUTE(SUBSTITUTE(SUBSTITUTE(C12,".",""),",",""),";",""),":",""),"!",""),"?",""),"""",""),"'",""),"’",""),"“",""),"”",""))))</f>
        <v/>
      </c>
      <c r="N12" s="46">
        <f>IF($A12="","",SUBSTITUTE(SUBSTITUTE(LOWER(TRIM(SUBSTITUTE(SUBSTITUTE(SUBSTITUTE(SUBSTITUTE(SUBSTITUTE(SUBSTITUTE(SUBSTITUTE(SUBSTITUTE(SUBSTITUTE(SUBSTITUTE(SUBSTITUTE(D12,".",""),",",""),";",""),":",""),"!",""),"?",""),"""",""),"'",""),"’",""),"“",""),"”","")))," |","|"),"| ","|"))</f>
        <v/>
      </c>
      <c r="O12" s="46">
        <f>IF($A12="","",LOWER(TRIM(SUBSTITUTE(SUBSTITUTE(SUBSTITUTE(SUBSTITUTE(SUBSTITUTE(SUBSTITUTE(SUBSTITUTE(SUBSTITUTE(SUBSTITUTE(SUBSTITUTE(SUBSTITUTE(E12,".",""),",",""),";",""),":",""),"!",""),"?",""),"""",""),"'",""),"’",""),"“",""),"”",""))))</f>
        <v/>
      </c>
      <c r="P12" s="46">
        <f>IF($A12="","",LOWER(TRIM(SUBSTITUTE(SUBSTITUTE(SUBSTITUTE(SUBSTITUTE(SUBSTITUTE(SUBSTITUTE(SUBSTITUTE(SUBSTITUTE(SUBSTITUTE(SUBSTITUTE(SUBSTITUTE(F12,".",""),",",""),";",""),":",""),"!",""),"?",""),"""",""),"'",""),"’",""),"“",""),"”",""))))</f>
        <v/>
      </c>
      <c r="Q12" s="46">
        <f>IF($A12="","",LOWER(TRIM(SUBSTITUTE(SUBSTITUTE(SUBSTITUTE(SUBSTITUTE(SUBSTITUTE(SUBSTITUTE(SUBSTITUTE(SUBSTITUTE(SUBSTITUTE(SUBSTITUTE(SUBSTITUTE(G12,".",""),",",""),";",""),":",""),"!",""),"?",""),"""",""),"'",""),"’",""),"“",""),"”",""))))</f>
        <v/>
      </c>
      <c r="R12" s="46">
        <f>IF($A12="","",LEN(O12))</f>
        <v/>
      </c>
      <c r="S12" s="46">
        <f>IF($A12="","",IF(O12="",0,LEN(O12)-LEN(SUBSTITUTE(O12," ",""))+1))</f>
        <v/>
      </c>
      <c r="T12" s="46">
        <f>IF($A12="","",IF(AND(O12&lt;&gt;"",OR(O12=M12,AND(N12&lt;&gt;"",ISNUMBER(FIND("|"&amp;O12&amp;"|","|"&amp;N12&amp;"|"))))),1,0))</f>
        <v/>
      </c>
      <c r="U12" s="46">
        <f>IF($A12="","",IF(AND(Q12&lt;&gt;"",OR(Q12=M12,AND(N12&lt;&gt;"",ISNUMBER(FIND("|"&amp;Q12&amp;"|","|"&amp;N12&amp;"|"))))),1,0))</f>
        <v/>
      </c>
      <c r="V12" s="46">
        <f>IF($A12="","",IF(P12=O12,1,0))</f>
        <v/>
      </c>
      <c r="W12" s="46">
        <f>IF($A12="","",IF(Q12=O12,1,0))</f>
        <v/>
      </c>
      <c r="X12" s="46">
        <f>IF(OR($A12="",$H12=""),"",IF(AND($H12=1,T12=1),"TA",IF(AND($H12=0,T12=1),"FA",IF($H12=1,"FR","TR"))))</f>
        <v/>
      </c>
      <c r="Y12" s="46">
        <f>IF(OR($A12="",$H12=""),"",IF(AND($H12=1,U12=1),"TA",IF(AND($H12=0,U12=1),"FA",IF($H12=1,"FR","TR"))))</f>
        <v/>
      </c>
    </row>
    <row r="13" ht="15" customHeight="1" s="28">
      <c r="A13" s="54" t="inlineStr">
        <is>
          <t>E09</t>
        </is>
      </c>
      <c r="B13" s="54" t="inlineStr">
        <is>
          <t>P3</t>
        </is>
      </c>
      <c r="C13" s="54" t="inlineStr">
        <is>
          <t>nitrogen</t>
        </is>
      </c>
      <c r="D13" s="54" t="n"/>
      <c r="E13" s="54" t="inlineStr">
        <is>
          <t>oxygen</t>
        </is>
      </c>
      <c r="F13" s="54" t="inlineStr">
        <is>
          <t>oxygen</t>
        </is>
      </c>
      <c r="G13" s="54" t="inlineStr">
        <is>
          <t>oxygen</t>
        </is>
      </c>
      <c r="H13" s="54" t="n">
        <v>0</v>
      </c>
      <c r="I13" s="54" t="n">
        <v>0</v>
      </c>
      <c r="J13" s="54" t="n">
        <v>0</v>
      </c>
      <c r="K13" s="54" t="n">
        <v>0</v>
      </c>
      <c r="L13" s="54" t="n"/>
      <c r="M13" s="46">
        <f>IF($A13="","",LOWER(TRIM(SUBSTITUTE(SUBSTITUTE(SUBSTITUTE(SUBSTITUTE(SUBSTITUTE(SUBSTITUTE(SUBSTITUTE(SUBSTITUTE(SUBSTITUTE(SUBSTITUTE(SUBSTITUTE(C13,".",""),",",""),";",""),":",""),"!",""),"?",""),"""",""),"'",""),"’",""),"“",""),"”",""))))</f>
        <v/>
      </c>
      <c r="N13" s="46">
        <f>IF($A13="","",SUBSTITUTE(SUBSTITUTE(LOWER(TRIM(SUBSTITUTE(SUBSTITUTE(SUBSTITUTE(SUBSTITUTE(SUBSTITUTE(SUBSTITUTE(SUBSTITUTE(SUBSTITUTE(SUBSTITUTE(SUBSTITUTE(SUBSTITUTE(D13,".",""),",",""),";",""),":",""),"!",""),"?",""),"""",""),"'",""),"’",""),"“",""),"”","")))," |","|"),"| ","|"))</f>
        <v/>
      </c>
      <c r="O13" s="46">
        <f>IF($A13="","",LOWER(TRIM(SUBSTITUTE(SUBSTITUTE(SUBSTITUTE(SUBSTITUTE(SUBSTITUTE(SUBSTITUTE(SUBSTITUTE(SUBSTITUTE(SUBSTITUTE(SUBSTITUTE(SUBSTITUTE(E13,".",""),",",""),";",""),":",""),"!",""),"?",""),"""",""),"'",""),"’",""),"“",""),"”",""))))</f>
        <v/>
      </c>
      <c r="P13" s="46">
        <f>IF($A13="","",LOWER(TRIM(SUBSTITUTE(SUBSTITUTE(SUBSTITUTE(SUBSTITUTE(SUBSTITUTE(SUBSTITUTE(SUBSTITUTE(SUBSTITUTE(SUBSTITUTE(SUBSTITUTE(SUBSTITUTE(F13,".",""),",",""),";",""),":",""),"!",""),"?",""),"""",""),"'",""),"’",""),"“",""),"”",""))))</f>
        <v/>
      </c>
      <c r="Q13" s="46">
        <f>IF($A13="","",LOWER(TRIM(SUBSTITUTE(SUBSTITUTE(SUBSTITUTE(SUBSTITUTE(SUBSTITUTE(SUBSTITUTE(SUBSTITUTE(SUBSTITUTE(SUBSTITUTE(SUBSTITUTE(SUBSTITUTE(G13,".",""),",",""),";",""),":",""),"!",""),"?",""),"""",""),"'",""),"’",""),"“",""),"”",""))))</f>
        <v/>
      </c>
      <c r="R13" s="46">
        <f>IF($A13="","",LEN(O13))</f>
        <v/>
      </c>
      <c r="S13" s="46">
        <f>IF($A13="","",IF(O13="",0,LEN(O13)-LEN(SUBSTITUTE(O13," ",""))+1))</f>
        <v/>
      </c>
      <c r="T13" s="46">
        <f>IF($A13="","",IF(AND(O13&lt;&gt;"",OR(O13=M13,AND(N13&lt;&gt;"",ISNUMBER(FIND("|"&amp;O13&amp;"|","|"&amp;N13&amp;"|"))))),1,0))</f>
        <v/>
      </c>
      <c r="U13" s="46">
        <f>IF($A13="","",IF(AND(Q13&lt;&gt;"",OR(Q13=M13,AND(N13&lt;&gt;"",ISNUMBER(FIND("|"&amp;Q13&amp;"|","|"&amp;N13&amp;"|"))))),1,0))</f>
        <v/>
      </c>
      <c r="V13" s="46">
        <f>IF($A13="","",IF(P13=O13,1,0))</f>
        <v/>
      </c>
      <c r="W13" s="46">
        <f>IF($A13="","",IF(Q13=O13,1,0))</f>
        <v/>
      </c>
      <c r="X13" s="46">
        <f>IF(OR($A13="",$H13=""),"",IF(AND($H13=1,T13=1),"TA",IF(AND($H13=0,T13=1),"FA",IF($H13=1,"FR","TR"))))</f>
        <v/>
      </c>
      <c r="Y13" s="46">
        <f>IF(OR($A13="",$H13=""),"",IF(AND($H13=1,U13=1),"TA",IF(AND($H13=0,U13=1),"FA",IF($H13=1,"FR","TR"))))</f>
        <v/>
      </c>
    </row>
    <row r="14" ht="15" customHeight="1" s="28">
      <c r="A14" s="54" t="inlineStr">
        <is>
          <t>E10</t>
        </is>
      </c>
      <c r="B14" s="54" t="inlineStr">
        <is>
          <t>P4</t>
        </is>
      </c>
      <c r="C14" s="54" t="inlineStr">
        <is>
          <t>sun</t>
        </is>
      </c>
      <c r="D14" s="54" t="n"/>
      <c r="E14" s="54" t="inlineStr">
        <is>
          <t>the sun</t>
        </is>
      </c>
      <c r="F14" s="54" t="inlineStr">
        <is>
          <t>the sun</t>
        </is>
      </c>
      <c r="G14" s="54" t="inlineStr">
        <is>
          <t>the sun</t>
        </is>
      </c>
      <c r="H14" s="54" t="n">
        <v>1</v>
      </c>
      <c r="I14" s="54" t="n">
        <v>0</v>
      </c>
      <c r="J14" s="54" t="n">
        <v>0</v>
      </c>
      <c r="K14" s="54" t="n">
        <v>0</v>
      </c>
      <c r="L14" s="54" t="inlineStr">
        <is>
          <t>Spelling variant or synonym not on list</t>
        </is>
      </c>
      <c r="M14" s="46">
        <f>IF($A14="","",LOWER(TRIM(SUBSTITUTE(SUBSTITUTE(SUBSTITUTE(SUBSTITUTE(SUBSTITUTE(SUBSTITUTE(SUBSTITUTE(SUBSTITUTE(SUBSTITUTE(SUBSTITUTE(SUBSTITUTE(C14,".",""),",",""),";",""),":",""),"!",""),"?",""),"""",""),"'",""),"’",""),"“",""),"”",""))))</f>
        <v/>
      </c>
      <c r="N14" s="46">
        <f>IF($A14="","",SUBSTITUTE(SUBSTITUTE(LOWER(TRIM(SUBSTITUTE(SUBSTITUTE(SUBSTITUTE(SUBSTITUTE(SUBSTITUTE(SUBSTITUTE(SUBSTITUTE(SUBSTITUTE(SUBSTITUTE(SUBSTITUTE(SUBSTITUTE(D14,".",""),",",""),";",""),":",""),"!",""),"?",""),"""",""),"'",""),"’",""),"“",""),"”","")))," |","|"),"| ","|"))</f>
        <v/>
      </c>
      <c r="O14" s="46">
        <f>IF($A14="","",LOWER(TRIM(SUBSTITUTE(SUBSTITUTE(SUBSTITUTE(SUBSTITUTE(SUBSTITUTE(SUBSTITUTE(SUBSTITUTE(SUBSTITUTE(SUBSTITUTE(SUBSTITUTE(SUBSTITUTE(E14,".",""),",",""),";",""),":",""),"!",""),"?",""),"""",""),"'",""),"’",""),"“",""),"”",""))))</f>
        <v/>
      </c>
      <c r="P14" s="46">
        <f>IF($A14="","",LOWER(TRIM(SUBSTITUTE(SUBSTITUTE(SUBSTITUTE(SUBSTITUTE(SUBSTITUTE(SUBSTITUTE(SUBSTITUTE(SUBSTITUTE(SUBSTITUTE(SUBSTITUTE(SUBSTITUTE(F14,".",""),",",""),";",""),":",""),"!",""),"?",""),"""",""),"'",""),"’",""),"“",""),"”",""))))</f>
        <v/>
      </c>
      <c r="Q14" s="46">
        <f>IF($A14="","",LOWER(TRIM(SUBSTITUTE(SUBSTITUTE(SUBSTITUTE(SUBSTITUTE(SUBSTITUTE(SUBSTITUTE(SUBSTITUTE(SUBSTITUTE(SUBSTITUTE(SUBSTITUTE(SUBSTITUTE(G14,".",""),",",""),";",""),":",""),"!",""),"?",""),"""",""),"'",""),"’",""),"“",""),"”",""))))</f>
        <v/>
      </c>
      <c r="R14" s="46">
        <f>IF($A14="","",LEN(O14))</f>
        <v/>
      </c>
      <c r="S14" s="46">
        <f>IF($A14="","",IF(O14="",0,LEN(O14)-LEN(SUBSTITUTE(O14," ",""))+1))</f>
        <v/>
      </c>
      <c r="T14" s="46">
        <f>IF($A14="","",IF(AND(O14&lt;&gt;"",OR(O14=M14,AND(N14&lt;&gt;"",ISNUMBER(FIND("|"&amp;O14&amp;"|","|"&amp;N14&amp;"|"))))),1,0))</f>
        <v/>
      </c>
      <c r="U14" s="46">
        <f>IF($A14="","",IF(AND(Q14&lt;&gt;"",OR(Q14=M14,AND(N14&lt;&gt;"",ISNUMBER(FIND("|"&amp;Q14&amp;"|","|"&amp;N14&amp;"|"))))),1,0))</f>
        <v/>
      </c>
      <c r="V14" s="46">
        <f>IF($A14="","",IF(P14=O14,1,0))</f>
        <v/>
      </c>
      <c r="W14" s="46">
        <f>IF($A14="","",IF(Q14=O14,1,0))</f>
        <v/>
      </c>
      <c r="X14" s="46">
        <f>IF(OR($A14="",$H14=""),"",IF(AND($H14=1,T14=1),"TA",IF(AND($H14=0,T14=1),"FA",IF($H14=1,"FR","TR"))))</f>
        <v/>
      </c>
      <c r="Y14" s="46">
        <f>IF(OR($A14="",$H14=""),"",IF(AND($H14=1,U14=1),"TA",IF(AND($H14=0,U14=1),"FA",IF($H14=1,"FR","TR"))))</f>
        <v/>
      </c>
    </row>
    <row r="15" ht="15" customHeight="1" s="28">
      <c r="A15" s="54" t="n"/>
      <c r="B15" s="54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4" t="n"/>
      <c r="M15" s="46">
        <f>IF($A15="","",LOWER(TRIM(SUBSTITUTE(SUBSTITUTE(SUBSTITUTE(SUBSTITUTE(SUBSTITUTE(SUBSTITUTE(SUBSTITUTE(SUBSTITUTE(SUBSTITUTE(SUBSTITUTE(SUBSTITUTE(C15,".",""),",",""),";",""),":",""),"!",""),"?",""),"""",""),"'",""),"’",""),"“",""),"”",""))))</f>
        <v/>
      </c>
      <c r="N15" s="46">
        <f>IF($A15="","",SUBSTITUTE(SUBSTITUTE(LOWER(TRIM(SUBSTITUTE(SUBSTITUTE(SUBSTITUTE(SUBSTITUTE(SUBSTITUTE(SUBSTITUTE(SUBSTITUTE(SUBSTITUTE(SUBSTITUTE(SUBSTITUTE(SUBSTITUTE(D15,".",""),",",""),";",""),":",""),"!",""),"?",""),"""",""),"'",""),"’",""),"“",""),"”","")))," |","|"),"| ","|"))</f>
        <v/>
      </c>
      <c r="O15" s="46">
        <f>IF($A15="","",LOWER(TRIM(SUBSTITUTE(SUBSTITUTE(SUBSTITUTE(SUBSTITUTE(SUBSTITUTE(SUBSTITUTE(SUBSTITUTE(SUBSTITUTE(SUBSTITUTE(SUBSTITUTE(SUBSTITUTE(E15,".",""),",",""),";",""),":",""),"!",""),"?",""),"""",""),"'",""),"’",""),"“",""),"”",""))))</f>
        <v/>
      </c>
      <c r="P15" s="46">
        <f>IF($A15="","",LOWER(TRIM(SUBSTITUTE(SUBSTITUTE(SUBSTITUTE(SUBSTITUTE(SUBSTITUTE(SUBSTITUTE(SUBSTITUTE(SUBSTITUTE(SUBSTITUTE(SUBSTITUTE(SUBSTITUTE(F15,".",""),",",""),";",""),":",""),"!",""),"?",""),"""",""),"'",""),"’",""),"“",""),"”",""))))</f>
        <v/>
      </c>
      <c r="Q15" s="46">
        <f>IF($A15="","",LOWER(TRIM(SUBSTITUTE(SUBSTITUTE(SUBSTITUTE(SUBSTITUTE(SUBSTITUTE(SUBSTITUTE(SUBSTITUTE(SUBSTITUTE(SUBSTITUTE(SUBSTITUTE(SUBSTITUTE(G15,".",""),",",""),";",""),":",""),"!",""),"?",""),"""",""),"'",""),"’",""),"“",""),"”",""))))</f>
        <v/>
      </c>
      <c r="R15" s="46">
        <f>IF($A15="","",LEN(O15))</f>
        <v/>
      </c>
      <c r="S15" s="46">
        <f>IF($A15="","",IF(O15="",0,LEN(O15)-LEN(SUBSTITUTE(O15," ",""))+1))</f>
        <v/>
      </c>
      <c r="T15" s="46">
        <f>IF($A15="","",IF(AND(O15&lt;&gt;"",OR(O15=M15,AND(N15&lt;&gt;"",ISNUMBER(FIND("|"&amp;O15&amp;"|","|"&amp;N15&amp;"|"))))),1,0))</f>
        <v/>
      </c>
      <c r="U15" s="46">
        <f>IF($A15="","",IF(AND(Q15&lt;&gt;"",OR(Q15=M15,AND(N15&lt;&gt;"",ISNUMBER(FIND("|"&amp;Q15&amp;"|","|"&amp;N15&amp;"|"))))),1,0))</f>
        <v/>
      </c>
      <c r="V15" s="46">
        <f>IF($A15="","",IF(P15=O15,1,0))</f>
        <v/>
      </c>
      <c r="W15" s="46">
        <f>IF($A15="","",IF(Q15=O15,1,0))</f>
        <v/>
      </c>
      <c r="X15" s="46">
        <f>IF(OR($A15="",$H15=""),"",IF(AND($H15=1,T15=1),"TA",IF(AND($H15=0,T15=1),"FA",IF($H15=1,"FR","TR"))))</f>
        <v/>
      </c>
      <c r="Y15" s="46">
        <f>IF(OR($A15="",$H15=""),"",IF(AND($H15=1,U15=1),"TA",IF(AND($H15=0,U15=1),"FA",IF($H15=1,"FR","TR"))))</f>
        <v/>
      </c>
    </row>
    <row r="16" ht="15" customHeight="1" s="28">
      <c r="A16" s="54" t="n"/>
      <c r="B16" s="54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4" t="n"/>
      <c r="M16" s="46">
        <f>IF($A16="","",LOWER(TRIM(SUBSTITUTE(SUBSTITUTE(SUBSTITUTE(SUBSTITUTE(SUBSTITUTE(SUBSTITUTE(SUBSTITUTE(SUBSTITUTE(SUBSTITUTE(SUBSTITUTE(SUBSTITUTE(C16,".",""),",",""),";",""),":",""),"!",""),"?",""),"""",""),"'",""),"’",""),"“",""),"”",""))))</f>
        <v/>
      </c>
      <c r="N16" s="46">
        <f>IF($A16="","",SUBSTITUTE(SUBSTITUTE(LOWER(TRIM(SUBSTITUTE(SUBSTITUTE(SUBSTITUTE(SUBSTITUTE(SUBSTITUTE(SUBSTITUTE(SUBSTITUTE(SUBSTITUTE(SUBSTITUTE(SUBSTITUTE(SUBSTITUTE(D16,".",""),",",""),";",""),":",""),"!",""),"?",""),"""",""),"'",""),"’",""),"“",""),"”","")))," |","|"),"| ","|"))</f>
        <v/>
      </c>
      <c r="O16" s="46">
        <f>IF($A16="","",LOWER(TRIM(SUBSTITUTE(SUBSTITUTE(SUBSTITUTE(SUBSTITUTE(SUBSTITUTE(SUBSTITUTE(SUBSTITUTE(SUBSTITUTE(SUBSTITUTE(SUBSTITUTE(SUBSTITUTE(E16,".",""),",",""),";",""),":",""),"!",""),"?",""),"""",""),"'",""),"’",""),"“",""),"”",""))))</f>
        <v/>
      </c>
      <c r="P16" s="46">
        <f>IF($A16="","",LOWER(TRIM(SUBSTITUTE(SUBSTITUTE(SUBSTITUTE(SUBSTITUTE(SUBSTITUTE(SUBSTITUTE(SUBSTITUTE(SUBSTITUTE(SUBSTITUTE(SUBSTITUTE(SUBSTITUTE(F16,".",""),",",""),";",""),":",""),"!",""),"?",""),"""",""),"'",""),"’",""),"“",""),"”",""))))</f>
        <v/>
      </c>
      <c r="Q16" s="46">
        <f>IF($A16="","",LOWER(TRIM(SUBSTITUTE(SUBSTITUTE(SUBSTITUTE(SUBSTITUTE(SUBSTITUTE(SUBSTITUTE(SUBSTITUTE(SUBSTITUTE(SUBSTITUTE(SUBSTITUTE(SUBSTITUTE(G16,".",""),",",""),";",""),":",""),"!",""),"?",""),"""",""),"'",""),"’",""),"“",""),"”",""))))</f>
        <v/>
      </c>
      <c r="R16" s="46">
        <f>IF($A16="","",LEN(O16))</f>
        <v/>
      </c>
      <c r="S16" s="46">
        <f>IF($A16="","",IF(O16="",0,LEN(O16)-LEN(SUBSTITUTE(O16," ",""))+1))</f>
        <v/>
      </c>
      <c r="T16" s="46">
        <f>IF($A16="","",IF(AND(O16&lt;&gt;"",OR(O16=M16,AND(N16&lt;&gt;"",ISNUMBER(FIND("|"&amp;O16&amp;"|","|"&amp;N16&amp;"|"))))),1,0))</f>
        <v/>
      </c>
      <c r="U16" s="46">
        <f>IF($A16="","",IF(AND(Q16&lt;&gt;"",OR(Q16=M16,AND(N16&lt;&gt;"",ISNUMBER(FIND("|"&amp;Q16&amp;"|","|"&amp;N16&amp;"|"))))),1,0))</f>
        <v/>
      </c>
      <c r="V16" s="46">
        <f>IF($A16="","",IF(P16=O16,1,0))</f>
        <v/>
      </c>
      <c r="W16" s="46">
        <f>IF($A16="","",IF(Q16=O16,1,0))</f>
        <v/>
      </c>
      <c r="X16" s="46">
        <f>IF(OR($A16="",$H16=""),"",IF(AND($H16=1,T16=1),"TA",IF(AND($H16=0,T16=1),"FA",IF($H16=1,"FR","TR"))))</f>
        <v/>
      </c>
      <c r="Y16" s="46">
        <f>IF(OR($A16="",$H16=""),"",IF(AND($H16=1,U16=1),"TA",IF(AND($H16=0,U16=1),"FA",IF($H16=1,"FR","TR"))))</f>
        <v/>
      </c>
    </row>
    <row r="17" ht="15" customHeight="1" s="28">
      <c r="A17" s="54" t="n"/>
      <c r="B17" s="54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4" t="n"/>
      <c r="M17" s="46">
        <f>IF($A17="","",LOWER(TRIM(SUBSTITUTE(SUBSTITUTE(SUBSTITUTE(SUBSTITUTE(SUBSTITUTE(SUBSTITUTE(SUBSTITUTE(SUBSTITUTE(SUBSTITUTE(SUBSTITUTE(SUBSTITUTE(C17,".",""),",",""),";",""),":",""),"!",""),"?",""),"""",""),"'",""),"’",""),"“",""),"”",""))))</f>
        <v/>
      </c>
      <c r="N17" s="46">
        <f>IF($A17="","",SUBSTITUTE(SUBSTITUTE(LOWER(TRIM(SUBSTITUTE(SUBSTITUTE(SUBSTITUTE(SUBSTITUTE(SUBSTITUTE(SUBSTITUTE(SUBSTITUTE(SUBSTITUTE(SUBSTITUTE(SUBSTITUTE(SUBSTITUTE(D17,".",""),",",""),";",""),":",""),"!",""),"?",""),"""",""),"'",""),"’",""),"“",""),"”","")))," |","|"),"| ","|"))</f>
        <v/>
      </c>
      <c r="O17" s="46">
        <f>IF($A17="","",LOWER(TRIM(SUBSTITUTE(SUBSTITUTE(SUBSTITUTE(SUBSTITUTE(SUBSTITUTE(SUBSTITUTE(SUBSTITUTE(SUBSTITUTE(SUBSTITUTE(SUBSTITUTE(SUBSTITUTE(E17,".",""),",",""),";",""),":",""),"!",""),"?",""),"""",""),"'",""),"’",""),"“",""),"”",""))))</f>
        <v/>
      </c>
      <c r="P17" s="46">
        <f>IF($A17="","",LOWER(TRIM(SUBSTITUTE(SUBSTITUTE(SUBSTITUTE(SUBSTITUTE(SUBSTITUTE(SUBSTITUTE(SUBSTITUTE(SUBSTITUTE(SUBSTITUTE(SUBSTITUTE(SUBSTITUTE(F17,".",""),",",""),";",""),":",""),"!",""),"?",""),"""",""),"'",""),"’",""),"“",""),"”",""))))</f>
        <v/>
      </c>
      <c r="Q17" s="46">
        <f>IF($A17="","",LOWER(TRIM(SUBSTITUTE(SUBSTITUTE(SUBSTITUTE(SUBSTITUTE(SUBSTITUTE(SUBSTITUTE(SUBSTITUTE(SUBSTITUTE(SUBSTITUTE(SUBSTITUTE(SUBSTITUTE(G17,".",""),",",""),";",""),":",""),"!",""),"?",""),"""",""),"'",""),"’",""),"“",""),"”",""))))</f>
        <v/>
      </c>
      <c r="R17" s="46">
        <f>IF($A17="","",LEN(O17))</f>
        <v/>
      </c>
      <c r="S17" s="46">
        <f>IF($A17="","",IF(O17="",0,LEN(O17)-LEN(SUBSTITUTE(O17," ",""))+1))</f>
        <v/>
      </c>
      <c r="T17" s="46">
        <f>IF($A17="","",IF(AND(O17&lt;&gt;"",OR(O17=M17,AND(N17&lt;&gt;"",ISNUMBER(FIND("|"&amp;O17&amp;"|","|"&amp;N17&amp;"|"))))),1,0))</f>
        <v/>
      </c>
      <c r="U17" s="46">
        <f>IF($A17="","",IF(AND(Q17&lt;&gt;"",OR(Q17=M17,AND(N17&lt;&gt;"",ISNUMBER(FIND("|"&amp;Q17&amp;"|","|"&amp;N17&amp;"|"))))),1,0))</f>
        <v/>
      </c>
      <c r="V17" s="46">
        <f>IF($A17="","",IF(P17=O17,1,0))</f>
        <v/>
      </c>
      <c r="W17" s="46">
        <f>IF($A17="","",IF(Q17=O17,1,0))</f>
        <v/>
      </c>
      <c r="X17" s="46">
        <f>IF(OR($A17="",$H17=""),"",IF(AND($H17=1,T17=1),"TA",IF(AND($H17=0,T17=1),"FA",IF($H17=1,"FR","TR"))))</f>
        <v/>
      </c>
      <c r="Y17" s="46">
        <f>IF(OR($A17="",$H17=""),"",IF(AND($H17=1,U17=1),"TA",IF(AND($H17=0,U17=1),"FA",IF($H17=1,"FR","TR"))))</f>
        <v/>
      </c>
    </row>
    <row r="18" ht="15" customHeight="1" s="28">
      <c r="A18" s="54" t="n"/>
      <c r="B18" s="54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4" t="n"/>
      <c r="M18" s="46">
        <f>IF($A18="","",LOWER(TRIM(SUBSTITUTE(SUBSTITUTE(SUBSTITUTE(SUBSTITUTE(SUBSTITUTE(SUBSTITUTE(SUBSTITUTE(SUBSTITUTE(SUBSTITUTE(SUBSTITUTE(SUBSTITUTE(C18,".",""),",",""),";",""),":",""),"!",""),"?",""),"""",""),"'",""),"’",""),"“",""),"”",""))))</f>
        <v/>
      </c>
      <c r="N18" s="46">
        <f>IF($A18="","",SUBSTITUTE(SUBSTITUTE(LOWER(TRIM(SUBSTITUTE(SUBSTITUTE(SUBSTITUTE(SUBSTITUTE(SUBSTITUTE(SUBSTITUTE(SUBSTITUTE(SUBSTITUTE(SUBSTITUTE(SUBSTITUTE(SUBSTITUTE(D18,".",""),",",""),";",""),":",""),"!",""),"?",""),"""",""),"'",""),"’",""),"“",""),"”","")))," |","|"),"| ","|"))</f>
        <v/>
      </c>
      <c r="O18" s="46">
        <f>IF($A18="","",LOWER(TRIM(SUBSTITUTE(SUBSTITUTE(SUBSTITUTE(SUBSTITUTE(SUBSTITUTE(SUBSTITUTE(SUBSTITUTE(SUBSTITUTE(SUBSTITUTE(SUBSTITUTE(SUBSTITUTE(E18,".",""),",",""),";",""),":",""),"!",""),"?",""),"""",""),"'",""),"’",""),"“",""),"”",""))))</f>
        <v/>
      </c>
      <c r="P18" s="46">
        <f>IF($A18="","",LOWER(TRIM(SUBSTITUTE(SUBSTITUTE(SUBSTITUTE(SUBSTITUTE(SUBSTITUTE(SUBSTITUTE(SUBSTITUTE(SUBSTITUTE(SUBSTITUTE(SUBSTITUTE(SUBSTITUTE(F18,".",""),",",""),";",""),":",""),"!",""),"?",""),"""",""),"'",""),"’",""),"“",""),"”",""))))</f>
        <v/>
      </c>
      <c r="Q18" s="46">
        <f>IF($A18="","",LOWER(TRIM(SUBSTITUTE(SUBSTITUTE(SUBSTITUTE(SUBSTITUTE(SUBSTITUTE(SUBSTITUTE(SUBSTITUTE(SUBSTITUTE(SUBSTITUTE(SUBSTITUTE(SUBSTITUTE(G18,".",""),",",""),";",""),":",""),"!",""),"?",""),"""",""),"'",""),"’",""),"“",""),"”",""))))</f>
        <v/>
      </c>
      <c r="R18" s="46">
        <f>IF($A18="","",LEN(O18))</f>
        <v/>
      </c>
      <c r="S18" s="46">
        <f>IF($A18="","",IF(O18="",0,LEN(O18)-LEN(SUBSTITUTE(O18," ",""))+1))</f>
        <v/>
      </c>
      <c r="T18" s="46">
        <f>IF($A18="","",IF(AND(O18&lt;&gt;"",OR(O18=M18,AND(N18&lt;&gt;"",ISNUMBER(FIND("|"&amp;O18&amp;"|","|"&amp;N18&amp;"|"))))),1,0))</f>
        <v/>
      </c>
      <c r="U18" s="46">
        <f>IF($A18="","",IF(AND(Q18&lt;&gt;"",OR(Q18=M18,AND(N18&lt;&gt;"",ISNUMBER(FIND("|"&amp;Q18&amp;"|","|"&amp;N18&amp;"|"))))),1,0))</f>
        <v/>
      </c>
      <c r="V18" s="46">
        <f>IF($A18="","",IF(P18=O18,1,0))</f>
        <v/>
      </c>
      <c r="W18" s="46">
        <f>IF($A18="","",IF(Q18=O18,1,0))</f>
        <v/>
      </c>
      <c r="X18" s="46">
        <f>IF(OR($A18="",$H18=""),"",IF(AND($H18=1,T18=1),"TA",IF(AND($H18=0,T18=1),"FA",IF($H18=1,"FR","TR"))))</f>
        <v/>
      </c>
      <c r="Y18" s="46">
        <f>IF(OR($A18="",$H18=""),"",IF(AND($H18=1,U18=1),"TA",IF(AND($H18=0,U18=1),"FA",IF($H18=1,"FR","TR"))))</f>
        <v/>
      </c>
    </row>
    <row r="19" ht="15" customHeight="1" s="28">
      <c r="A19" s="54" t="n"/>
      <c r="B19" s="54" t="n"/>
      <c r="C19" s="54" t="n"/>
      <c r="D19" s="54" t="n"/>
      <c r="E19" s="54" t="n"/>
      <c r="F19" s="54" t="n"/>
      <c r="G19" s="54" t="n"/>
      <c r="H19" s="54" t="n"/>
      <c r="I19" s="54" t="n"/>
      <c r="J19" s="54" t="n"/>
      <c r="K19" s="54" t="n"/>
      <c r="L19" s="54" t="n"/>
      <c r="M19" s="46">
        <f>IF($A19="","",LOWER(TRIM(SUBSTITUTE(SUBSTITUTE(SUBSTITUTE(SUBSTITUTE(SUBSTITUTE(SUBSTITUTE(SUBSTITUTE(SUBSTITUTE(SUBSTITUTE(SUBSTITUTE(SUBSTITUTE(C19,".",""),",",""),";",""),":",""),"!",""),"?",""),"""",""),"'",""),"’",""),"“",""),"”",""))))</f>
        <v/>
      </c>
      <c r="N19" s="46">
        <f>IF($A19="","",SUBSTITUTE(SUBSTITUTE(LOWER(TRIM(SUBSTITUTE(SUBSTITUTE(SUBSTITUTE(SUBSTITUTE(SUBSTITUTE(SUBSTITUTE(SUBSTITUTE(SUBSTITUTE(SUBSTITUTE(SUBSTITUTE(SUBSTITUTE(D19,".",""),",",""),";",""),":",""),"!",""),"?",""),"""",""),"'",""),"’",""),"“",""),"”","")))," |","|"),"| ","|"))</f>
        <v/>
      </c>
      <c r="O19" s="46">
        <f>IF($A19="","",LOWER(TRIM(SUBSTITUTE(SUBSTITUTE(SUBSTITUTE(SUBSTITUTE(SUBSTITUTE(SUBSTITUTE(SUBSTITUTE(SUBSTITUTE(SUBSTITUTE(SUBSTITUTE(SUBSTITUTE(E19,".",""),",",""),";",""),":",""),"!",""),"?",""),"""",""),"'",""),"’",""),"“",""),"”",""))))</f>
        <v/>
      </c>
      <c r="P19" s="46">
        <f>IF($A19="","",LOWER(TRIM(SUBSTITUTE(SUBSTITUTE(SUBSTITUTE(SUBSTITUTE(SUBSTITUTE(SUBSTITUTE(SUBSTITUTE(SUBSTITUTE(SUBSTITUTE(SUBSTITUTE(SUBSTITUTE(F19,".",""),",",""),";",""),":",""),"!",""),"?",""),"""",""),"'",""),"’",""),"“",""),"”",""))))</f>
        <v/>
      </c>
      <c r="Q19" s="46">
        <f>IF($A19="","",LOWER(TRIM(SUBSTITUTE(SUBSTITUTE(SUBSTITUTE(SUBSTITUTE(SUBSTITUTE(SUBSTITUTE(SUBSTITUTE(SUBSTITUTE(SUBSTITUTE(SUBSTITUTE(SUBSTITUTE(G19,".",""),",",""),";",""),":",""),"!",""),"?",""),"""",""),"'",""),"’",""),"“",""),"”",""))))</f>
        <v/>
      </c>
      <c r="R19" s="46">
        <f>IF($A19="","",LEN(O19))</f>
        <v/>
      </c>
      <c r="S19" s="46">
        <f>IF($A19="","",IF(O19="",0,LEN(O19)-LEN(SUBSTITUTE(O19," ",""))+1))</f>
        <v/>
      </c>
      <c r="T19" s="46">
        <f>IF($A19="","",IF(AND(O19&lt;&gt;"",OR(O19=M19,AND(N19&lt;&gt;"",ISNUMBER(FIND("|"&amp;O19&amp;"|","|"&amp;N19&amp;"|"))))),1,0))</f>
        <v/>
      </c>
      <c r="U19" s="46">
        <f>IF($A19="","",IF(AND(Q19&lt;&gt;"",OR(Q19=M19,AND(N19&lt;&gt;"",ISNUMBER(FIND("|"&amp;Q19&amp;"|","|"&amp;N19&amp;"|"))))),1,0))</f>
        <v/>
      </c>
      <c r="V19" s="46">
        <f>IF($A19="","",IF(P19=O19,1,0))</f>
        <v/>
      </c>
      <c r="W19" s="46">
        <f>IF($A19="","",IF(Q19=O19,1,0))</f>
        <v/>
      </c>
      <c r="X19" s="46">
        <f>IF(OR($A19="",$H19=""),"",IF(AND($H19=1,T19=1),"TA",IF(AND($H19=0,T19=1),"FA",IF($H19=1,"FR","TR"))))</f>
        <v/>
      </c>
      <c r="Y19" s="46">
        <f>IF(OR($A19="",$H19=""),"",IF(AND($H19=1,U19=1),"TA",IF(AND($H19=0,U19=1),"FA",IF($H19=1,"FR","TR"))))</f>
        <v/>
      </c>
    </row>
    <row r="20" ht="15" customHeight="1" s="28">
      <c r="A20" s="54" t="n"/>
      <c r="B20" s="54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4" t="n"/>
      <c r="M20" s="46">
        <f>IF($A20="","",LOWER(TRIM(SUBSTITUTE(SUBSTITUTE(SUBSTITUTE(SUBSTITUTE(SUBSTITUTE(SUBSTITUTE(SUBSTITUTE(SUBSTITUTE(SUBSTITUTE(SUBSTITUTE(SUBSTITUTE(C20,".",""),",",""),";",""),":",""),"!",""),"?",""),"""",""),"'",""),"’",""),"“",""),"”",""))))</f>
        <v/>
      </c>
      <c r="N20" s="46">
        <f>IF($A20="","",SUBSTITUTE(SUBSTITUTE(LOWER(TRIM(SUBSTITUTE(SUBSTITUTE(SUBSTITUTE(SUBSTITUTE(SUBSTITUTE(SUBSTITUTE(SUBSTITUTE(SUBSTITUTE(SUBSTITUTE(SUBSTITUTE(SUBSTITUTE(D20,".",""),",",""),";",""),":",""),"!",""),"?",""),"""",""),"'",""),"’",""),"“",""),"”","")))," |","|"),"| ","|"))</f>
        <v/>
      </c>
      <c r="O20" s="46">
        <f>IF($A20="","",LOWER(TRIM(SUBSTITUTE(SUBSTITUTE(SUBSTITUTE(SUBSTITUTE(SUBSTITUTE(SUBSTITUTE(SUBSTITUTE(SUBSTITUTE(SUBSTITUTE(SUBSTITUTE(SUBSTITUTE(E20,".",""),",",""),";",""),":",""),"!",""),"?",""),"""",""),"'",""),"’",""),"“",""),"”",""))))</f>
        <v/>
      </c>
      <c r="P20" s="46">
        <f>IF($A20="","",LOWER(TRIM(SUBSTITUTE(SUBSTITUTE(SUBSTITUTE(SUBSTITUTE(SUBSTITUTE(SUBSTITUTE(SUBSTITUTE(SUBSTITUTE(SUBSTITUTE(SUBSTITUTE(SUBSTITUTE(F20,".",""),",",""),";",""),":",""),"!",""),"?",""),"""",""),"'",""),"’",""),"“",""),"”",""))))</f>
        <v/>
      </c>
      <c r="Q20" s="46">
        <f>IF($A20="","",LOWER(TRIM(SUBSTITUTE(SUBSTITUTE(SUBSTITUTE(SUBSTITUTE(SUBSTITUTE(SUBSTITUTE(SUBSTITUTE(SUBSTITUTE(SUBSTITUTE(SUBSTITUTE(SUBSTITUTE(G20,".",""),",",""),";",""),":",""),"!",""),"?",""),"""",""),"'",""),"’",""),"“",""),"”",""))))</f>
        <v/>
      </c>
      <c r="R20" s="46">
        <f>IF($A20="","",LEN(O20))</f>
        <v/>
      </c>
      <c r="S20" s="46">
        <f>IF($A20="","",IF(O20="",0,LEN(O20)-LEN(SUBSTITUTE(O20," ",""))+1))</f>
        <v/>
      </c>
      <c r="T20" s="46">
        <f>IF($A20="","",IF(AND(O20&lt;&gt;"",OR(O20=M20,AND(N20&lt;&gt;"",ISNUMBER(FIND("|"&amp;O20&amp;"|","|"&amp;N20&amp;"|"))))),1,0))</f>
        <v/>
      </c>
      <c r="U20" s="46">
        <f>IF($A20="","",IF(AND(Q20&lt;&gt;"",OR(Q20=M20,AND(N20&lt;&gt;"",ISNUMBER(FIND("|"&amp;Q20&amp;"|","|"&amp;N20&amp;"|"))))),1,0))</f>
        <v/>
      </c>
      <c r="V20" s="46">
        <f>IF($A20="","",IF(P20=O20,1,0))</f>
        <v/>
      </c>
      <c r="W20" s="46">
        <f>IF($A20="","",IF(Q20=O20,1,0))</f>
        <v/>
      </c>
      <c r="X20" s="46">
        <f>IF(OR($A20="",$H20=""),"",IF(AND($H20=1,T20=1),"TA",IF(AND($H20=0,T20=1),"FA",IF($H20=1,"FR","TR"))))</f>
        <v/>
      </c>
      <c r="Y20" s="46">
        <f>IF(OR($A20="",$H20=""),"",IF(AND($H20=1,U20=1),"TA",IF(AND($H20=0,U20=1),"FA",IF($H20=1,"FR","TR"))))</f>
        <v/>
      </c>
    </row>
    <row r="21" ht="15" customHeight="1" s="28">
      <c r="A21" s="54" t="n"/>
      <c r="B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4" t="n"/>
      <c r="M21" s="46">
        <f>IF($A21="","",LOWER(TRIM(SUBSTITUTE(SUBSTITUTE(SUBSTITUTE(SUBSTITUTE(SUBSTITUTE(SUBSTITUTE(SUBSTITUTE(SUBSTITUTE(SUBSTITUTE(SUBSTITUTE(SUBSTITUTE(C21,".",""),",",""),";",""),":",""),"!",""),"?",""),"""",""),"'",""),"’",""),"“",""),"”",""))))</f>
        <v/>
      </c>
      <c r="N21" s="46">
        <f>IF($A21="","",SUBSTITUTE(SUBSTITUTE(LOWER(TRIM(SUBSTITUTE(SUBSTITUTE(SUBSTITUTE(SUBSTITUTE(SUBSTITUTE(SUBSTITUTE(SUBSTITUTE(SUBSTITUTE(SUBSTITUTE(SUBSTITUTE(SUBSTITUTE(D21,".",""),",",""),";",""),":",""),"!",""),"?",""),"""",""),"'",""),"’",""),"“",""),"”","")))," |","|"),"| ","|"))</f>
        <v/>
      </c>
      <c r="O21" s="46">
        <f>IF($A21="","",LOWER(TRIM(SUBSTITUTE(SUBSTITUTE(SUBSTITUTE(SUBSTITUTE(SUBSTITUTE(SUBSTITUTE(SUBSTITUTE(SUBSTITUTE(SUBSTITUTE(SUBSTITUTE(SUBSTITUTE(E21,".",""),",",""),";",""),":",""),"!",""),"?",""),"""",""),"'",""),"’",""),"“",""),"”",""))))</f>
        <v/>
      </c>
      <c r="P21" s="46">
        <f>IF($A21="","",LOWER(TRIM(SUBSTITUTE(SUBSTITUTE(SUBSTITUTE(SUBSTITUTE(SUBSTITUTE(SUBSTITUTE(SUBSTITUTE(SUBSTITUTE(SUBSTITUTE(SUBSTITUTE(SUBSTITUTE(F21,".",""),",",""),";",""),":",""),"!",""),"?",""),"""",""),"'",""),"’",""),"“",""),"”",""))))</f>
        <v/>
      </c>
      <c r="Q21" s="46">
        <f>IF($A21="","",LOWER(TRIM(SUBSTITUTE(SUBSTITUTE(SUBSTITUTE(SUBSTITUTE(SUBSTITUTE(SUBSTITUTE(SUBSTITUTE(SUBSTITUTE(SUBSTITUTE(SUBSTITUTE(SUBSTITUTE(G21,".",""),",",""),";",""),":",""),"!",""),"?",""),"""",""),"'",""),"’",""),"“",""),"”",""))))</f>
        <v/>
      </c>
      <c r="R21" s="46">
        <f>IF($A21="","",LEN(O21))</f>
        <v/>
      </c>
      <c r="S21" s="46">
        <f>IF($A21="","",IF(O21="",0,LEN(O21)-LEN(SUBSTITUTE(O21," ",""))+1))</f>
        <v/>
      </c>
      <c r="T21" s="46">
        <f>IF($A21="","",IF(AND(O21&lt;&gt;"",OR(O21=M21,AND(N21&lt;&gt;"",ISNUMBER(FIND("|"&amp;O21&amp;"|","|"&amp;N21&amp;"|"))))),1,0))</f>
        <v/>
      </c>
      <c r="U21" s="46">
        <f>IF($A21="","",IF(AND(Q21&lt;&gt;"",OR(Q21=M21,AND(N21&lt;&gt;"",ISNUMBER(FIND("|"&amp;Q21&amp;"|","|"&amp;N21&amp;"|"))))),1,0))</f>
        <v/>
      </c>
      <c r="V21" s="46">
        <f>IF($A21="","",IF(P21=O21,1,0))</f>
        <v/>
      </c>
      <c r="W21" s="46">
        <f>IF($A21="","",IF(Q21=O21,1,0))</f>
        <v/>
      </c>
      <c r="X21" s="46">
        <f>IF(OR($A21="",$H21=""),"",IF(AND($H21=1,T21=1),"TA",IF(AND($H21=0,T21=1),"FA",IF($H21=1,"FR","TR"))))</f>
        <v/>
      </c>
      <c r="Y21" s="46">
        <f>IF(OR($A21="",$H21=""),"",IF(AND($H21=1,U21=1),"TA",IF(AND($H21=0,U21=1),"FA",IF($H21=1,"FR","TR"))))</f>
        <v/>
      </c>
    </row>
    <row r="22" ht="15" customHeight="1" s="28">
      <c r="A22" s="54" t="n"/>
      <c r="B22" s="54" t="n"/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  <c r="L22" s="54" t="n"/>
      <c r="M22" s="46">
        <f>IF($A22="","",LOWER(TRIM(SUBSTITUTE(SUBSTITUTE(SUBSTITUTE(SUBSTITUTE(SUBSTITUTE(SUBSTITUTE(SUBSTITUTE(SUBSTITUTE(SUBSTITUTE(SUBSTITUTE(SUBSTITUTE(C22,".",""),",",""),";",""),":",""),"!",""),"?",""),"""",""),"'",""),"’",""),"“",""),"”",""))))</f>
        <v/>
      </c>
      <c r="N22" s="46">
        <f>IF($A22="","",SUBSTITUTE(SUBSTITUTE(LOWER(TRIM(SUBSTITUTE(SUBSTITUTE(SUBSTITUTE(SUBSTITUTE(SUBSTITUTE(SUBSTITUTE(SUBSTITUTE(SUBSTITUTE(SUBSTITUTE(SUBSTITUTE(SUBSTITUTE(D22,".",""),",",""),";",""),":",""),"!",""),"?",""),"""",""),"'",""),"’",""),"“",""),"”","")))," |","|"),"| ","|"))</f>
        <v/>
      </c>
      <c r="O22" s="46">
        <f>IF($A22="","",LOWER(TRIM(SUBSTITUTE(SUBSTITUTE(SUBSTITUTE(SUBSTITUTE(SUBSTITUTE(SUBSTITUTE(SUBSTITUTE(SUBSTITUTE(SUBSTITUTE(SUBSTITUTE(SUBSTITUTE(E22,".",""),",",""),";",""),":",""),"!",""),"?",""),"""",""),"'",""),"’",""),"“",""),"”",""))))</f>
        <v/>
      </c>
      <c r="P22" s="46">
        <f>IF($A22="","",LOWER(TRIM(SUBSTITUTE(SUBSTITUTE(SUBSTITUTE(SUBSTITUTE(SUBSTITUTE(SUBSTITUTE(SUBSTITUTE(SUBSTITUTE(SUBSTITUTE(SUBSTITUTE(SUBSTITUTE(F22,".",""),",",""),";",""),":",""),"!",""),"?",""),"""",""),"'",""),"’",""),"“",""),"”",""))))</f>
        <v/>
      </c>
      <c r="Q22" s="46">
        <f>IF($A22="","",LOWER(TRIM(SUBSTITUTE(SUBSTITUTE(SUBSTITUTE(SUBSTITUTE(SUBSTITUTE(SUBSTITUTE(SUBSTITUTE(SUBSTITUTE(SUBSTITUTE(SUBSTITUTE(SUBSTITUTE(G22,".",""),",",""),";",""),":",""),"!",""),"?",""),"""",""),"'",""),"’",""),"“",""),"”",""))))</f>
        <v/>
      </c>
      <c r="R22" s="46">
        <f>IF($A22="","",LEN(O22))</f>
        <v/>
      </c>
      <c r="S22" s="46">
        <f>IF($A22="","",IF(O22="",0,LEN(O22)-LEN(SUBSTITUTE(O22," ",""))+1))</f>
        <v/>
      </c>
      <c r="T22" s="46">
        <f>IF($A22="","",IF(AND(O22&lt;&gt;"",OR(O22=M22,AND(N22&lt;&gt;"",ISNUMBER(FIND("|"&amp;O22&amp;"|","|"&amp;N22&amp;"|"))))),1,0))</f>
        <v/>
      </c>
      <c r="U22" s="46">
        <f>IF($A22="","",IF(AND(Q22&lt;&gt;"",OR(Q22=M22,AND(N22&lt;&gt;"",ISNUMBER(FIND("|"&amp;Q22&amp;"|","|"&amp;N22&amp;"|"))))),1,0))</f>
        <v/>
      </c>
      <c r="V22" s="46">
        <f>IF($A22="","",IF(P22=O22,1,0))</f>
        <v/>
      </c>
      <c r="W22" s="46">
        <f>IF($A22="","",IF(Q22=O22,1,0))</f>
        <v/>
      </c>
      <c r="X22" s="46">
        <f>IF(OR($A22="",$H22=""),"",IF(AND($H22=1,T22=1),"TA",IF(AND($H22=0,T22=1),"FA",IF($H22=1,"FR","TR"))))</f>
        <v/>
      </c>
      <c r="Y22" s="46">
        <f>IF(OR($A22="",$H22=""),"",IF(AND($H22=1,U22=1),"TA",IF(AND($H22=0,U22=1),"FA",IF($H22=1,"FR","TR"))))</f>
        <v/>
      </c>
    </row>
    <row r="23" ht="15" customHeight="1" s="28">
      <c r="A23" s="54" t="n"/>
      <c r="B23" s="54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46">
        <f>IF($A23="","",LOWER(TRIM(SUBSTITUTE(SUBSTITUTE(SUBSTITUTE(SUBSTITUTE(SUBSTITUTE(SUBSTITUTE(SUBSTITUTE(SUBSTITUTE(SUBSTITUTE(SUBSTITUTE(SUBSTITUTE(C23,".",""),",",""),";",""),":",""),"!",""),"?",""),"""",""),"'",""),"’",""),"“",""),"”",""))))</f>
        <v/>
      </c>
      <c r="N23" s="46">
        <f>IF($A23="","",SUBSTITUTE(SUBSTITUTE(LOWER(TRIM(SUBSTITUTE(SUBSTITUTE(SUBSTITUTE(SUBSTITUTE(SUBSTITUTE(SUBSTITUTE(SUBSTITUTE(SUBSTITUTE(SUBSTITUTE(SUBSTITUTE(SUBSTITUTE(D23,".",""),",",""),";",""),":",""),"!",""),"?",""),"""",""),"'",""),"’",""),"“",""),"”","")))," |","|"),"| ","|"))</f>
        <v/>
      </c>
      <c r="O23" s="46">
        <f>IF($A23="","",LOWER(TRIM(SUBSTITUTE(SUBSTITUTE(SUBSTITUTE(SUBSTITUTE(SUBSTITUTE(SUBSTITUTE(SUBSTITUTE(SUBSTITUTE(SUBSTITUTE(SUBSTITUTE(SUBSTITUTE(E23,".",""),",",""),";",""),":",""),"!",""),"?",""),"""",""),"'",""),"’",""),"“",""),"”",""))))</f>
        <v/>
      </c>
      <c r="P23" s="46">
        <f>IF($A23="","",LOWER(TRIM(SUBSTITUTE(SUBSTITUTE(SUBSTITUTE(SUBSTITUTE(SUBSTITUTE(SUBSTITUTE(SUBSTITUTE(SUBSTITUTE(SUBSTITUTE(SUBSTITUTE(SUBSTITUTE(F23,".",""),",",""),";",""),":",""),"!",""),"?",""),"""",""),"'",""),"’",""),"“",""),"”",""))))</f>
        <v/>
      </c>
      <c r="Q23" s="46">
        <f>IF($A23="","",LOWER(TRIM(SUBSTITUTE(SUBSTITUTE(SUBSTITUTE(SUBSTITUTE(SUBSTITUTE(SUBSTITUTE(SUBSTITUTE(SUBSTITUTE(SUBSTITUTE(SUBSTITUTE(SUBSTITUTE(G23,".",""),",",""),";",""),":",""),"!",""),"?",""),"""",""),"'",""),"’",""),"“",""),"”",""))))</f>
        <v/>
      </c>
      <c r="R23" s="46">
        <f>IF($A23="","",LEN(O23))</f>
        <v/>
      </c>
      <c r="S23" s="46">
        <f>IF($A23="","",IF(O23="",0,LEN(O23)-LEN(SUBSTITUTE(O23," ",""))+1))</f>
        <v/>
      </c>
      <c r="T23" s="46">
        <f>IF($A23="","",IF(AND(O23&lt;&gt;"",OR(O23=M23,AND(N23&lt;&gt;"",ISNUMBER(FIND("|"&amp;O23&amp;"|","|"&amp;N23&amp;"|"))))),1,0))</f>
        <v/>
      </c>
      <c r="U23" s="46">
        <f>IF($A23="","",IF(AND(Q23&lt;&gt;"",OR(Q23=M23,AND(N23&lt;&gt;"",ISNUMBER(FIND("|"&amp;Q23&amp;"|","|"&amp;N23&amp;"|"))))),1,0))</f>
        <v/>
      </c>
      <c r="V23" s="46">
        <f>IF($A23="","",IF(P23=O23,1,0))</f>
        <v/>
      </c>
      <c r="W23" s="46">
        <f>IF($A23="","",IF(Q23=O23,1,0))</f>
        <v/>
      </c>
      <c r="X23" s="46">
        <f>IF(OR($A23="",$H23=""),"",IF(AND($H23=1,T23=1),"TA",IF(AND($H23=0,T23=1),"FA",IF($H23=1,"FR","TR"))))</f>
        <v/>
      </c>
      <c r="Y23" s="46">
        <f>IF(OR($A23="",$H23=""),"",IF(AND($H23=1,U23=1),"TA",IF(AND($H23=0,U23=1),"FA",IF($H23=1,"FR","TR"))))</f>
        <v/>
      </c>
    </row>
    <row r="24" ht="15" customHeight="1" s="28">
      <c r="A24" s="54" t="n"/>
      <c r="B24" s="54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4" t="n"/>
      <c r="M24" s="46">
        <f>IF($A24="","",LOWER(TRIM(SUBSTITUTE(SUBSTITUTE(SUBSTITUTE(SUBSTITUTE(SUBSTITUTE(SUBSTITUTE(SUBSTITUTE(SUBSTITUTE(SUBSTITUTE(SUBSTITUTE(SUBSTITUTE(C24,".",""),",",""),";",""),":",""),"!",""),"?",""),"""",""),"'",""),"’",""),"“",""),"”",""))))</f>
        <v/>
      </c>
      <c r="N24" s="46">
        <f>IF($A24="","",SUBSTITUTE(SUBSTITUTE(LOWER(TRIM(SUBSTITUTE(SUBSTITUTE(SUBSTITUTE(SUBSTITUTE(SUBSTITUTE(SUBSTITUTE(SUBSTITUTE(SUBSTITUTE(SUBSTITUTE(SUBSTITUTE(SUBSTITUTE(D24,".",""),",",""),";",""),":",""),"!",""),"?",""),"""",""),"'",""),"’",""),"“",""),"”","")))," |","|"),"| ","|"))</f>
        <v/>
      </c>
      <c r="O24" s="46">
        <f>IF($A24="","",LOWER(TRIM(SUBSTITUTE(SUBSTITUTE(SUBSTITUTE(SUBSTITUTE(SUBSTITUTE(SUBSTITUTE(SUBSTITUTE(SUBSTITUTE(SUBSTITUTE(SUBSTITUTE(SUBSTITUTE(E24,".",""),",",""),";",""),":",""),"!",""),"?",""),"""",""),"'",""),"’",""),"“",""),"”",""))))</f>
        <v/>
      </c>
      <c r="P24" s="46">
        <f>IF($A24="","",LOWER(TRIM(SUBSTITUTE(SUBSTITUTE(SUBSTITUTE(SUBSTITUTE(SUBSTITUTE(SUBSTITUTE(SUBSTITUTE(SUBSTITUTE(SUBSTITUTE(SUBSTITUTE(SUBSTITUTE(F24,".",""),",",""),";",""),":",""),"!",""),"?",""),"""",""),"'",""),"’",""),"“",""),"”",""))))</f>
        <v/>
      </c>
      <c r="Q24" s="46">
        <f>IF($A24="","",LOWER(TRIM(SUBSTITUTE(SUBSTITUTE(SUBSTITUTE(SUBSTITUTE(SUBSTITUTE(SUBSTITUTE(SUBSTITUTE(SUBSTITUTE(SUBSTITUTE(SUBSTITUTE(SUBSTITUTE(G24,".",""),",",""),";",""),":",""),"!",""),"?",""),"""",""),"'",""),"’",""),"“",""),"”",""))))</f>
        <v/>
      </c>
      <c r="R24" s="46">
        <f>IF($A24="","",LEN(O24))</f>
        <v/>
      </c>
      <c r="S24" s="46">
        <f>IF($A24="","",IF(O24="",0,LEN(O24)-LEN(SUBSTITUTE(O24," ",""))+1))</f>
        <v/>
      </c>
      <c r="T24" s="46">
        <f>IF($A24="","",IF(AND(O24&lt;&gt;"",OR(O24=M24,AND(N24&lt;&gt;"",ISNUMBER(FIND("|"&amp;O24&amp;"|","|"&amp;N24&amp;"|"))))),1,0))</f>
        <v/>
      </c>
      <c r="U24" s="46">
        <f>IF($A24="","",IF(AND(Q24&lt;&gt;"",OR(Q24=M24,AND(N24&lt;&gt;"",ISNUMBER(FIND("|"&amp;Q24&amp;"|","|"&amp;N24&amp;"|"))))),1,0))</f>
        <v/>
      </c>
      <c r="V24" s="46">
        <f>IF($A24="","",IF(P24=O24,1,0))</f>
        <v/>
      </c>
      <c r="W24" s="46">
        <f>IF($A24="","",IF(Q24=O24,1,0))</f>
        <v/>
      </c>
      <c r="X24" s="46">
        <f>IF(OR($A24="",$H24=""),"",IF(AND($H24=1,T24=1),"TA",IF(AND($H24=0,T24=1),"FA",IF($H24=1,"FR","TR"))))</f>
        <v/>
      </c>
      <c r="Y24" s="46">
        <f>IF(OR($A24="",$H24=""),"",IF(AND($H24=1,U24=1),"TA",IF(AND($H24=0,U24=1),"FA",IF($H24=1,"FR","TR"))))</f>
        <v/>
      </c>
    </row>
    <row r="25" ht="15" customHeight="1" s="28">
      <c r="A25" s="54" t="n"/>
      <c r="B25" s="54" t="n"/>
      <c r="C25" s="54" t="n"/>
      <c r="D25" s="54" t="n"/>
      <c r="E25" s="54" t="n"/>
      <c r="F25" s="54" t="n"/>
      <c r="G25" s="54" t="n"/>
      <c r="H25" s="54" t="n"/>
      <c r="I25" s="54" t="n"/>
      <c r="J25" s="54" t="n"/>
      <c r="K25" s="54" t="n"/>
      <c r="L25" s="54" t="n"/>
      <c r="M25" s="46">
        <f>IF($A25="","",LOWER(TRIM(SUBSTITUTE(SUBSTITUTE(SUBSTITUTE(SUBSTITUTE(SUBSTITUTE(SUBSTITUTE(SUBSTITUTE(SUBSTITUTE(SUBSTITUTE(SUBSTITUTE(SUBSTITUTE(C25,".",""),",",""),";",""),":",""),"!",""),"?",""),"""",""),"'",""),"’",""),"“",""),"”",""))))</f>
        <v/>
      </c>
      <c r="N25" s="46">
        <f>IF($A25="","",SUBSTITUTE(SUBSTITUTE(LOWER(TRIM(SUBSTITUTE(SUBSTITUTE(SUBSTITUTE(SUBSTITUTE(SUBSTITUTE(SUBSTITUTE(SUBSTITUTE(SUBSTITUTE(SUBSTITUTE(SUBSTITUTE(SUBSTITUTE(D25,".",""),",",""),";",""),":",""),"!",""),"?",""),"""",""),"'",""),"’",""),"“",""),"”","")))," |","|"),"| ","|"))</f>
        <v/>
      </c>
      <c r="O25" s="46">
        <f>IF($A25="","",LOWER(TRIM(SUBSTITUTE(SUBSTITUTE(SUBSTITUTE(SUBSTITUTE(SUBSTITUTE(SUBSTITUTE(SUBSTITUTE(SUBSTITUTE(SUBSTITUTE(SUBSTITUTE(SUBSTITUTE(E25,".",""),",",""),";",""),":",""),"!",""),"?",""),"""",""),"'",""),"’",""),"“",""),"”",""))))</f>
        <v/>
      </c>
      <c r="P25" s="46">
        <f>IF($A25="","",LOWER(TRIM(SUBSTITUTE(SUBSTITUTE(SUBSTITUTE(SUBSTITUTE(SUBSTITUTE(SUBSTITUTE(SUBSTITUTE(SUBSTITUTE(SUBSTITUTE(SUBSTITUTE(SUBSTITUTE(F25,".",""),",",""),";",""),":",""),"!",""),"?",""),"""",""),"'",""),"’",""),"“",""),"”",""))))</f>
        <v/>
      </c>
      <c r="Q25" s="46">
        <f>IF($A25="","",LOWER(TRIM(SUBSTITUTE(SUBSTITUTE(SUBSTITUTE(SUBSTITUTE(SUBSTITUTE(SUBSTITUTE(SUBSTITUTE(SUBSTITUTE(SUBSTITUTE(SUBSTITUTE(SUBSTITUTE(G25,".",""),",",""),";",""),":",""),"!",""),"?",""),"""",""),"'",""),"’",""),"“",""),"”",""))))</f>
        <v/>
      </c>
      <c r="R25" s="46">
        <f>IF($A25="","",LEN(O25))</f>
        <v/>
      </c>
      <c r="S25" s="46">
        <f>IF($A25="","",IF(O25="",0,LEN(O25)-LEN(SUBSTITUTE(O25," ",""))+1))</f>
        <v/>
      </c>
      <c r="T25" s="46">
        <f>IF($A25="","",IF(AND(O25&lt;&gt;"",OR(O25=M25,AND(N25&lt;&gt;"",ISNUMBER(FIND("|"&amp;O25&amp;"|","|"&amp;N25&amp;"|"))))),1,0))</f>
        <v/>
      </c>
      <c r="U25" s="46">
        <f>IF($A25="","",IF(AND(Q25&lt;&gt;"",OR(Q25=M25,AND(N25&lt;&gt;"",ISNUMBER(FIND("|"&amp;Q25&amp;"|","|"&amp;N25&amp;"|"))))),1,0))</f>
        <v/>
      </c>
      <c r="V25" s="46">
        <f>IF($A25="","",IF(P25=O25,1,0))</f>
        <v/>
      </c>
      <c r="W25" s="46">
        <f>IF($A25="","",IF(Q25=O25,1,0))</f>
        <v/>
      </c>
      <c r="X25" s="46">
        <f>IF(OR($A25="",$H25=""),"",IF(AND($H25=1,T25=1),"TA",IF(AND($H25=0,T25=1),"FA",IF($H25=1,"FR","TR"))))</f>
        <v/>
      </c>
      <c r="Y25" s="46">
        <f>IF(OR($A25="",$H25=""),"",IF(AND($H25=1,U25=1),"TA",IF(AND($H25=0,U25=1),"FA",IF($H25=1,"FR","TR"))))</f>
        <v/>
      </c>
    </row>
    <row r="26" ht="15" customHeight="1" s="28">
      <c r="A26" s="54" t="n"/>
      <c r="B26" s="54" t="n"/>
      <c r="C26" s="54" t="n"/>
      <c r="D26" s="54" t="n"/>
      <c r="E26" s="54" t="n"/>
      <c r="F26" s="54" t="n"/>
      <c r="G26" s="54" t="n"/>
      <c r="H26" s="54" t="n"/>
      <c r="I26" s="54" t="n"/>
      <c r="J26" s="54" t="n"/>
      <c r="K26" s="54" t="n"/>
      <c r="L26" s="54" t="n"/>
      <c r="M26" s="46">
        <f>IF($A26="","",LOWER(TRIM(SUBSTITUTE(SUBSTITUTE(SUBSTITUTE(SUBSTITUTE(SUBSTITUTE(SUBSTITUTE(SUBSTITUTE(SUBSTITUTE(SUBSTITUTE(SUBSTITUTE(SUBSTITUTE(C26,".",""),",",""),";",""),":",""),"!",""),"?",""),"""",""),"'",""),"’",""),"“",""),"”",""))))</f>
        <v/>
      </c>
      <c r="N26" s="46">
        <f>IF($A26="","",SUBSTITUTE(SUBSTITUTE(LOWER(TRIM(SUBSTITUTE(SUBSTITUTE(SUBSTITUTE(SUBSTITUTE(SUBSTITUTE(SUBSTITUTE(SUBSTITUTE(SUBSTITUTE(SUBSTITUTE(SUBSTITUTE(SUBSTITUTE(D26,".",""),",",""),";",""),":",""),"!",""),"?",""),"""",""),"'",""),"’",""),"“",""),"”","")))," |","|"),"| ","|"))</f>
        <v/>
      </c>
      <c r="O26" s="46">
        <f>IF($A26="","",LOWER(TRIM(SUBSTITUTE(SUBSTITUTE(SUBSTITUTE(SUBSTITUTE(SUBSTITUTE(SUBSTITUTE(SUBSTITUTE(SUBSTITUTE(SUBSTITUTE(SUBSTITUTE(SUBSTITUTE(E26,".",""),",",""),";",""),":",""),"!",""),"?",""),"""",""),"'",""),"’",""),"“",""),"”",""))))</f>
        <v/>
      </c>
      <c r="P26" s="46">
        <f>IF($A26="","",LOWER(TRIM(SUBSTITUTE(SUBSTITUTE(SUBSTITUTE(SUBSTITUTE(SUBSTITUTE(SUBSTITUTE(SUBSTITUTE(SUBSTITUTE(SUBSTITUTE(SUBSTITUTE(SUBSTITUTE(F26,".",""),",",""),";",""),":",""),"!",""),"?",""),"""",""),"'",""),"’",""),"“",""),"”",""))))</f>
        <v/>
      </c>
      <c r="Q26" s="46">
        <f>IF($A26="","",LOWER(TRIM(SUBSTITUTE(SUBSTITUTE(SUBSTITUTE(SUBSTITUTE(SUBSTITUTE(SUBSTITUTE(SUBSTITUTE(SUBSTITUTE(SUBSTITUTE(SUBSTITUTE(SUBSTITUTE(G26,".",""),",",""),";",""),":",""),"!",""),"?",""),"""",""),"'",""),"’",""),"“",""),"”",""))))</f>
        <v/>
      </c>
      <c r="R26" s="46">
        <f>IF($A26="","",LEN(O26))</f>
        <v/>
      </c>
      <c r="S26" s="46">
        <f>IF($A26="","",IF(O26="",0,LEN(O26)-LEN(SUBSTITUTE(O26," ",""))+1))</f>
        <v/>
      </c>
      <c r="T26" s="46">
        <f>IF($A26="","",IF(AND(O26&lt;&gt;"",OR(O26=M26,AND(N26&lt;&gt;"",ISNUMBER(FIND("|"&amp;O26&amp;"|","|"&amp;N26&amp;"|"))))),1,0))</f>
        <v/>
      </c>
      <c r="U26" s="46">
        <f>IF($A26="","",IF(AND(Q26&lt;&gt;"",OR(Q26=M26,AND(N26&lt;&gt;"",ISNUMBER(FIND("|"&amp;Q26&amp;"|","|"&amp;N26&amp;"|"))))),1,0))</f>
        <v/>
      </c>
      <c r="V26" s="46">
        <f>IF($A26="","",IF(P26=O26,1,0))</f>
        <v/>
      </c>
      <c r="W26" s="46">
        <f>IF($A26="","",IF(Q26=O26,1,0))</f>
        <v/>
      </c>
      <c r="X26" s="46">
        <f>IF(OR($A26="",$H26=""),"",IF(AND($H26=1,T26=1),"TA",IF(AND($H26=0,T26=1),"FA",IF($H26=1,"FR","TR"))))</f>
        <v/>
      </c>
      <c r="Y26" s="46">
        <f>IF(OR($A26="",$H26=""),"",IF(AND($H26=1,U26=1),"TA",IF(AND($H26=0,U26=1),"FA",IF($H26=1,"FR","TR"))))</f>
        <v/>
      </c>
    </row>
    <row r="27" ht="15" customHeight="1" s="28">
      <c r="A27" s="54" t="n"/>
      <c r="B27" s="54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4" t="n"/>
      <c r="M27" s="46">
        <f>IF($A27="","",LOWER(TRIM(SUBSTITUTE(SUBSTITUTE(SUBSTITUTE(SUBSTITUTE(SUBSTITUTE(SUBSTITUTE(SUBSTITUTE(SUBSTITUTE(SUBSTITUTE(SUBSTITUTE(SUBSTITUTE(C27,".",""),",",""),";",""),":",""),"!",""),"?",""),"""",""),"'",""),"’",""),"“",""),"”",""))))</f>
        <v/>
      </c>
      <c r="N27" s="46">
        <f>IF($A27="","",SUBSTITUTE(SUBSTITUTE(LOWER(TRIM(SUBSTITUTE(SUBSTITUTE(SUBSTITUTE(SUBSTITUTE(SUBSTITUTE(SUBSTITUTE(SUBSTITUTE(SUBSTITUTE(SUBSTITUTE(SUBSTITUTE(SUBSTITUTE(D27,".",""),",",""),";",""),":",""),"!",""),"?",""),"""",""),"'",""),"’",""),"“",""),"”","")))," |","|"),"| ","|"))</f>
        <v/>
      </c>
      <c r="O27" s="46">
        <f>IF($A27="","",LOWER(TRIM(SUBSTITUTE(SUBSTITUTE(SUBSTITUTE(SUBSTITUTE(SUBSTITUTE(SUBSTITUTE(SUBSTITUTE(SUBSTITUTE(SUBSTITUTE(SUBSTITUTE(SUBSTITUTE(E27,".",""),",",""),";",""),":",""),"!",""),"?",""),"""",""),"'",""),"’",""),"“",""),"”",""))))</f>
        <v/>
      </c>
      <c r="P27" s="46">
        <f>IF($A27="","",LOWER(TRIM(SUBSTITUTE(SUBSTITUTE(SUBSTITUTE(SUBSTITUTE(SUBSTITUTE(SUBSTITUTE(SUBSTITUTE(SUBSTITUTE(SUBSTITUTE(SUBSTITUTE(SUBSTITUTE(F27,".",""),",",""),";",""),":",""),"!",""),"?",""),"""",""),"'",""),"’",""),"“",""),"”",""))))</f>
        <v/>
      </c>
      <c r="Q27" s="46">
        <f>IF($A27="","",LOWER(TRIM(SUBSTITUTE(SUBSTITUTE(SUBSTITUTE(SUBSTITUTE(SUBSTITUTE(SUBSTITUTE(SUBSTITUTE(SUBSTITUTE(SUBSTITUTE(SUBSTITUTE(SUBSTITUTE(G27,".",""),",",""),";",""),":",""),"!",""),"?",""),"""",""),"'",""),"’",""),"“",""),"”",""))))</f>
        <v/>
      </c>
      <c r="R27" s="46">
        <f>IF($A27="","",LEN(O27))</f>
        <v/>
      </c>
      <c r="S27" s="46">
        <f>IF($A27="","",IF(O27="",0,LEN(O27)-LEN(SUBSTITUTE(O27," ",""))+1))</f>
        <v/>
      </c>
      <c r="T27" s="46">
        <f>IF($A27="","",IF(AND(O27&lt;&gt;"",OR(O27=M27,AND(N27&lt;&gt;"",ISNUMBER(FIND("|"&amp;O27&amp;"|","|"&amp;N27&amp;"|"))))),1,0))</f>
        <v/>
      </c>
      <c r="U27" s="46">
        <f>IF($A27="","",IF(AND(Q27&lt;&gt;"",OR(Q27=M27,AND(N27&lt;&gt;"",ISNUMBER(FIND("|"&amp;Q27&amp;"|","|"&amp;N27&amp;"|"))))),1,0))</f>
        <v/>
      </c>
      <c r="V27" s="46">
        <f>IF($A27="","",IF(P27=O27,1,0))</f>
        <v/>
      </c>
      <c r="W27" s="46">
        <f>IF($A27="","",IF(Q27=O27,1,0))</f>
        <v/>
      </c>
      <c r="X27" s="46">
        <f>IF(OR($A27="",$H27=""),"",IF(AND($H27=1,T27=1),"TA",IF(AND($H27=0,T27=1),"FA",IF($H27=1,"FR","TR"))))</f>
        <v/>
      </c>
      <c r="Y27" s="46">
        <f>IF(OR($A27="",$H27=""),"",IF(AND($H27=1,U27=1),"TA",IF(AND($H27=0,U27=1),"FA",IF($H27=1,"FR","TR"))))</f>
        <v/>
      </c>
    </row>
    <row r="28" ht="15" customHeight="1" s="28">
      <c r="A28" s="54" t="n"/>
      <c r="B28" s="54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4" t="n"/>
      <c r="M28" s="46">
        <f>IF($A28="","",LOWER(TRIM(SUBSTITUTE(SUBSTITUTE(SUBSTITUTE(SUBSTITUTE(SUBSTITUTE(SUBSTITUTE(SUBSTITUTE(SUBSTITUTE(SUBSTITUTE(SUBSTITUTE(SUBSTITUTE(C28,".",""),",",""),";",""),":",""),"!",""),"?",""),"""",""),"'",""),"’",""),"“",""),"”",""))))</f>
        <v/>
      </c>
      <c r="N28" s="46">
        <f>IF($A28="","",SUBSTITUTE(SUBSTITUTE(LOWER(TRIM(SUBSTITUTE(SUBSTITUTE(SUBSTITUTE(SUBSTITUTE(SUBSTITUTE(SUBSTITUTE(SUBSTITUTE(SUBSTITUTE(SUBSTITUTE(SUBSTITUTE(SUBSTITUTE(D28,".",""),",",""),";",""),":",""),"!",""),"?",""),"""",""),"'",""),"’",""),"“",""),"”","")))," |","|"),"| ","|"))</f>
        <v/>
      </c>
      <c r="O28" s="46">
        <f>IF($A28="","",LOWER(TRIM(SUBSTITUTE(SUBSTITUTE(SUBSTITUTE(SUBSTITUTE(SUBSTITUTE(SUBSTITUTE(SUBSTITUTE(SUBSTITUTE(SUBSTITUTE(SUBSTITUTE(SUBSTITUTE(E28,".",""),",",""),";",""),":",""),"!",""),"?",""),"""",""),"'",""),"’",""),"“",""),"”",""))))</f>
        <v/>
      </c>
      <c r="P28" s="46">
        <f>IF($A28="","",LOWER(TRIM(SUBSTITUTE(SUBSTITUTE(SUBSTITUTE(SUBSTITUTE(SUBSTITUTE(SUBSTITUTE(SUBSTITUTE(SUBSTITUTE(SUBSTITUTE(SUBSTITUTE(SUBSTITUTE(F28,".",""),",",""),";",""),":",""),"!",""),"?",""),"""",""),"'",""),"’",""),"“",""),"”",""))))</f>
        <v/>
      </c>
      <c r="Q28" s="46">
        <f>IF($A28="","",LOWER(TRIM(SUBSTITUTE(SUBSTITUTE(SUBSTITUTE(SUBSTITUTE(SUBSTITUTE(SUBSTITUTE(SUBSTITUTE(SUBSTITUTE(SUBSTITUTE(SUBSTITUTE(SUBSTITUTE(G28,".",""),",",""),";",""),":",""),"!",""),"?",""),"""",""),"'",""),"’",""),"“",""),"”",""))))</f>
        <v/>
      </c>
      <c r="R28" s="46">
        <f>IF($A28="","",LEN(O28))</f>
        <v/>
      </c>
      <c r="S28" s="46">
        <f>IF($A28="","",IF(O28="",0,LEN(O28)-LEN(SUBSTITUTE(O28," ",""))+1))</f>
        <v/>
      </c>
      <c r="T28" s="46">
        <f>IF($A28="","",IF(AND(O28&lt;&gt;"",OR(O28=M28,AND(N28&lt;&gt;"",ISNUMBER(FIND("|"&amp;O28&amp;"|","|"&amp;N28&amp;"|"))))),1,0))</f>
        <v/>
      </c>
      <c r="U28" s="46">
        <f>IF($A28="","",IF(AND(Q28&lt;&gt;"",OR(Q28=M28,AND(N28&lt;&gt;"",ISNUMBER(FIND("|"&amp;Q28&amp;"|","|"&amp;N28&amp;"|"))))),1,0))</f>
        <v/>
      </c>
      <c r="V28" s="46">
        <f>IF($A28="","",IF(P28=O28,1,0))</f>
        <v/>
      </c>
      <c r="W28" s="46">
        <f>IF($A28="","",IF(Q28=O28,1,0))</f>
        <v/>
      </c>
      <c r="X28" s="46">
        <f>IF(OR($A28="",$H28=""),"",IF(AND($H28=1,T28=1),"TA",IF(AND($H28=0,T28=1),"FA",IF($H28=1,"FR","TR"))))</f>
        <v/>
      </c>
      <c r="Y28" s="46">
        <f>IF(OR($A28="",$H28=""),"",IF(AND($H28=1,U28=1),"TA",IF(AND($H28=0,U28=1),"FA",IF($H28=1,"FR","TR"))))</f>
        <v/>
      </c>
    </row>
    <row r="29" ht="15" customHeight="1" s="28">
      <c r="A29" s="54" t="n"/>
      <c r="B29" s="54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4" t="n"/>
      <c r="M29" s="46">
        <f>IF($A29="","",LOWER(TRIM(SUBSTITUTE(SUBSTITUTE(SUBSTITUTE(SUBSTITUTE(SUBSTITUTE(SUBSTITUTE(SUBSTITUTE(SUBSTITUTE(SUBSTITUTE(SUBSTITUTE(SUBSTITUTE(C29,".",""),",",""),";",""),":",""),"!",""),"?",""),"""",""),"'",""),"’",""),"“",""),"”",""))))</f>
        <v/>
      </c>
      <c r="N29" s="46">
        <f>IF($A29="","",SUBSTITUTE(SUBSTITUTE(LOWER(TRIM(SUBSTITUTE(SUBSTITUTE(SUBSTITUTE(SUBSTITUTE(SUBSTITUTE(SUBSTITUTE(SUBSTITUTE(SUBSTITUTE(SUBSTITUTE(SUBSTITUTE(SUBSTITUTE(D29,".",""),",",""),";",""),":",""),"!",""),"?",""),"""",""),"'",""),"’",""),"“",""),"”","")))," |","|"),"| ","|"))</f>
        <v/>
      </c>
      <c r="O29" s="46">
        <f>IF($A29="","",LOWER(TRIM(SUBSTITUTE(SUBSTITUTE(SUBSTITUTE(SUBSTITUTE(SUBSTITUTE(SUBSTITUTE(SUBSTITUTE(SUBSTITUTE(SUBSTITUTE(SUBSTITUTE(SUBSTITUTE(E29,".",""),",",""),";",""),":",""),"!",""),"?",""),"""",""),"'",""),"’",""),"“",""),"”",""))))</f>
        <v/>
      </c>
      <c r="P29" s="46">
        <f>IF($A29="","",LOWER(TRIM(SUBSTITUTE(SUBSTITUTE(SUBSTITUTE(SUBSTITUTE(SUBSTITUTE(SUBSTITUTE(SUBSTITUTE(SUBSTITUTE(SUBSTITUTE(SUBSTITUTE(SUBSTITUTE(F29,".",""),",",""),";",""),":",""),"!",""),"?",""),"""",""),"'",""),"’",""),"“",""),"”",""))))</f>
        <v/>
      </c>
      <c r="Q29" s="46">
        <f>IF($A29="","",LOWER(TRIM(SUBSTITUTE(SUBSTITUTE(SUBSTITUTE(SUBSTITUTE(SUBSTITUTE(SUBSTITUTE(SUBSTITUTE(SUBSTITUTE(SUBSTITUTE(SUBSTITUTE(SUBSTITUTE(G29,".",""),",",""),";",""),":",""),"!",""),"?",""),"""",""),"'",""),"’",""),"“",""),"”",""))))</f>
        <v/>
      </c>
      <c r="R29" s="46">
        <f>IF($A29="","",LEN(O29))</f>
        <v/>
      </c>
      <c r="S29" s="46">
        <f>IF($A29="","",IF(O29="",0,LEN(O29)-LEN(SUBSTITUTE(O29," ",""))+1))</f>
        <v/>
      </c>
      <c r="T29" s="46">
        <f>IF($A29="","",IF(AND(O29&lt;&gt;"",OR(O29=M29,AND(N29&lt;&gt;"",ISNUMBER(FIND("|"&amp;O29&amp;"|","|"&amp;N29&amp;"|"))))),1,0))</f>
        <v/>
      </c>
      <c r="U29" s="46">
        <f>IF($A29="","",IF(AND(Q29&lt;&gt;"",OR(Q29=M29,AND(N29&lt;&gt;"",ISNUMBER(FIND("|"&amp;Q29&amp;"|","|"&amp;N29&amp;"|"))))),1,0))</f>
        <v/>
      </c>
      <c r="V29" s="46">
        <f>IF($A29="","",IF(P29=O29,1,0))</f>
        <v/>
      </c>
      <c r="W29" s="46">
        <f>IF($A29="","",IF(Q29=O29,1,0))</f>
        <v/>
      </c>
      <c r="X29" s="46">
        <f>IF(OR($A29="",$H29=""),"",IF(AND($H29=1,T29=1),"TA",IF(AND($H29=0,T29=1),"FA",IF($H29=1,"FR","TR"))))</f>
        <v/>
      </c>
      <c r="Y29" s="46">
        <f>IF(OR($A29="",$H29=""),"",IF(AND($H29=1,U29=1),"TA",IF(AND($H29=0,U29=1),"FA",IF($H29=1,"FR","TR"))))</f>
        <v/>
      </c>
    </row>
    <row r="30" ht="15" customHeight="1" s="28">
      <c r="A30" s="54" t="n"/>
      <c r="B30" s="54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4" t="n"/>
      <c r="M30" s="46">
        <f>IF($A30="","",LOWER(TRIM(SUBSTITUTE(SUBSTITUTE(SUBSTITUTE(SUBSTITUTE(SUBSTITUTE(SUBSTITUTE(SUBSTITUTE(SUBSTITUTE(SUBSTITUTE(SUBSTITUTE(SUBSTITUTE(C30,".",""),",",""),";",""),":",""),"!",""),"?",""),"""",""),"'",""),"’",""),"“",""),"”",""))))</f>
        <v/>
      </c>
      <c r="N30" s="46">
        <f>IF($A30="","",SUBSTITUTE(SUBSTITUTE(LOWER(TRIM(SUBSTITUTE(SUBSTITUTE(SUBSTITUTE(SUBSTITUTE(SUBSTITUTE(SUBSTITUTE(SUBSTITUTE(SUBSTITUTE(SUBSTITUTE(SUBSTITUTE(SUBSTITUTE(D30,".",""),",",""),";",""),":",""),"!",""),"?",""),"""",""),"'",""),"’",""),"“",""),"”","")))," |","|"),"| ","|"))</f>
        <v/>
      </c>
      <c r="O30" s="46">
        <f>IF($A30="","",LOWER(TRIM(SUBSTITUTE(SUBSTITUTE(SUBSTITUTE(SUBSTITUTE(SUBSTITUTE(SUBSTITUTE(SUBSTITUTE(SUBSTITUTE(SUBSTITUTE(SUBSTITUTE(SUBSTITUTE(E30,".",""),",",""),";",""),":",""),"!",""),"?",""),"""",""),"'",""),"’",""),"“",""),"”",""))))</f>
        <v/>
      </c>
      <c r="P30" s="46">
        <f>IF($A30="","",LOWER(TRIM(SUBSTITUTE(SUBSTITUTE(SUBSTITUTE(SUBSTITUTE(SUBSTITUTE(SUBSTITUTE(SUBSTITUTE(SUBSTITUTE(SUBSTITUTE(SUBSTITUTE(SUBSTITUTE(F30,".",""),",",""),";",""),":",""),"!",""),"?",""),"""",""),"'",""),"’",""),"“",""),"”",""))))</f>
        <v/>
      </c>
      <c r="Q30" s="46">
        <f>IF($A30="","",LOWER(TRIM(SUBSTITUTE(SUBSTITUTE(SUBSTITUTE(SUBSTITUTE(SUBSTITUTE(SUBSTITUTE(SUBSTITUTE(SUBSTITUTE(SUBSTITUTE(SUBSTITUTE(SUBSTITUTE(G30,".",""),",",""),";",""),":",""),"!",""),"?",""),"""",""),"'",""),"’",""),"“",""),"”",""))))</f>
        <v/>
      </c>
      <c r="R30" s="46">
        <f>IF($A30="","",LEN(O30))</f>
        <v/>
      </c>
      <c r="S30" s="46">
        <f>IF($A30="","",IF(O30="",0,LEN(O30)-LEN(SUBSTITUTE(O30," ",""))+1))</f>
        <v/>
      </c>
      <c r="T30" s="46">
        <f>IF($A30="","",IF(AND(O30&lt;&gt;"",OR(O30=M30,AND(N30&lt;&gt;"",ISNUMBER(FIND("|"&amp;O30&amp;"|","|"&amp;N30&amp;"|"))))),1,0))</f>
        <v/>
      </c>
      <c r="U30" s="46">
        <f>IF($A30="","",IF(AND(Q30&lt;&gt;"",OR(Q30=M30,AND(N30&lt;&gt;"",ISNUMBER(FIND("|"&amp;Q30&amp;"|","|"&amp;N30&amp;"|"))))),1,0))</f>
        <v/>
      </c>
      <c r="V30" s="46">
        <f>IF($A30="","",IF(P30=O30,1,0))</f>
        <v/>
      </c>
      <c r="W30" s="46">
        <f>IF($A30="","",IF(Q30=O30,1,0))</f>
        <v/>
      </c>
      <c r="X30" s="46">
        <f>IF(OR($A30="",$H30=""),"",IF(AND($H30=1,T30=1),"TA",IF(AND($H30=0,T30=1),"FA",IF($H30=1,"FR","TR"))))</f>
        <v/>
      </c>
      <c r="Y30" s="46">
        <f>IF(OR($A30="",$H30=""),"",IF(AND($H30=1,U30=1),"TA",IF(AND($H30=0,U30=1),"FA",IF($H30=1,"FR","TR"))))</f>
        <v/>
      </c>
    </row>
    <row r="31" ht="15" customHeight="1" s="28">
      <c r="A31" s="54" t="n"/>
      <c r="B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4" t="n"/>
      <c r="M31" s="46">
        <f>IF($A31="","",LOWER(TRIM(SUBSTITUTE(SUBSTITUTE(SUBSTITUTE(SUBSTITUTE(SUBSTITUTE(SUBSTITUTE(SUBSTITUTE(SUBSTITUTE(SUBSTITUTE(SUBSTITUTE(SUBSTITUTE(C31,".",""),",",""),";",""),":",""),"!",""),"?",""),"""",""),"'",""),"’",""),"“",""),"”",""))))</f>
        <v/>
      </c>
      <c r="N31" s="46">
        <f>IF($A31="","",SUBSTITUTE(SUBSTITUTE(LOWER(TRIM(SUBSTITUTE(SUBSTITUTE(SUBSTITUTE(SUBSTITUTE(SUBSTITUTE(SUBSTITUTE(SUBSTITUTE(SUBSTITUTE(SUBSTITUTE(SUBSTITUTE(SUBSTITUTE(D31,".",""),",",""),";",""),":",""),"!",""),"?",""),"""",""),"'",""),"’",""),"“",""),"”","")))," |","|"),"| ","|"))</f>
        <v/>
      </c>
      <c r="O31" s="46">
        <f>IF($A31="","",LOWER(TRIM(SUBSTITUTE(SUBSTITUTE(SUBSTITUTE(SUBSTITUTE(SUBSTITUTE(SUBSTITUTE(SUBSTITUTE(SUBSTITUTE(SUBSTITUTE(SUBSTITUTE(SUBSTITUTE(E31,".",""),",",""),";",""),":",""),"!",""),"?",""),"""",""),"'",""),"’",""),"“",""),"”",""))))</f>
        <v/>
      </c>
      <c r="P31" s="46">
        <f>IF($A31="","",LOWER(TRIM(SUBSTITUTE(SUBSTITUTE(SUBSTITUTE(SUBSTITUTE(SUBSTITUTE(SUBSTITUTE(SUBSTITUTE(SUBSTITUTE(SUBSTITUTE(SUBSTITUTE(SUBSTITUTE(F31,".",""),",",""),";",""),":",""),"!",""),"?",""),"""",""),"'",""),"’",""),"“",""),"”",""))))</f>
        <v/>
      </c>
      <c r="Q31" s="46">
        <f>IF($A31="","",LOWER(TRIM(SUBSTITUTE(SUBSTITUTE(SUBSTITUTE(SUBSTITUTE(SUBSTITUTE(SUBSTITUTE(SUBSTITUTE(SUBSTITUTE(SUBSTITUTE(SUBSTITUTE(SUBSTITUTE(G31,".",""),",",""),";",""),":",""),"!",""),"?",""),"""",""),"'",""),"’",""),"“",""),"”",""))))</f>
        <v/>
      </c>
      <c r="R31" s="46">
        <f>IF($A31="","",LEN(O31))</f>
        <v/>
      </c>
      <c r="S31" s="46">
        <f>IF($A31="","",IF(O31="",0,LEN(O31)-LEN(SUBSTITUTE(O31," ",""))+1))</f>
        <v/>
      </c>
      <c r="T31" s="46">
        <f>IF($A31="","",IF(AND(O31&lt;&gt;"",OR(O31=M31,AND(N31&lt;&gt;"",ISNUMBER(FIND("|"&amp;O31&amp;"|","|"&amp;N31&amp;"|"))))),1,0))</f>
        <v/>
      </c>
      <c r="U31" s="46">
        <f>IF($A31="","",IF(AND(Q31&lt;&gt;"",OR(Q31=M31,AND(N31&lt;&gt;"",ISNUMBER(FIND("|"&amp;Q31&amp;"|","|"&amp;N31&amp;"|"))))),1,0))</f>
        <v/>
      </c>
      <c r="V31" s="46">
        <f>IF($A31="","",IF(P31=O31,1,0))</f>
        <v/>
      </c>
      <c r="W31" s="46">
        <f>IF($A31="","",IF(Q31=O31,1,0))</f>
        <v/>
      </c>
      <c r="X31" s="46">
        <f>IF(OR($A31="",$H31=""),"",IF(AND($H31=1,T31=1),"TA",IF(AND($H31=0,T31=1),"FA",IF($H31=1,"FR","TR"))))</f>
        <v/>
      </c>
      <c r="Y31" s="46">
        <f>IF(OR($A31="",$H31=""),"",IF(AND($H31=1,U31=1),"TA",IF(AND($H31=0,U31=1),"FA",IF($H31=1,"FR","TR"))))</f>
        <v/>
      </c>
    </row>
    <row r="32" ht="15" customHeight="1" s="28">
      <c r="A32" s="54" t="n"/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46">
        <f>IF($A32="","",LOWER(TRIM(SUBSTITUTE(SUBSTITUTE(SUBSTITUTE(SUBSTITUTE(SUBSTITUTE(SUBSTITUTE(SUBSTITUTE(SUBSTITUTE(SUBSTITUTE(SUBSTITUTE(SUBSTITUTE(C32,".",""),",",""),";",""),":",""),"!",""),"?",""),"""",""),"'",""),"’",""),"“",""),"”",""))))</f>
        <v/>
      </c>
      <c r="N32" s="46">
        <f>IF($A32="","",SUBSTITUTE(SUBSTITUTE(LOWER(TRIM(SUBSTITUTE(SUBSTITUTE(SUBSTITUTE(SUBSTITUTE(SUBSTITUTE(SUBSTITUTE(SUBSTITUTE(SUBSTITUTE(SUBSTITUTE(SUBSTITUTE(SUBSTITUTE(D32,".",""),",",""),";",""),":",""),"!",""),"?",""),"""",""),"'",""),"’",""),"“",""),"”","")))," |","|"),"| ","|"))</f>
        <v/>
      </c>
      <c r="O32" s="46">
        <f>IF($A32="","",LOWER(TRIM(SUBSTITUTE(SUBSTITUTE(SUBSTITUTE(SUBSTITUTE(SUBSTITUTE(SUBSTITUTE(SUBSTITUTE(SUBSTITUTE(SUBSTITUTE(SUBSTITUTE(SUBSTITUTE(E32,".",""),",",""),";",""),":",""),"!",""),"?",""),"""",""),"'",""),"’",""),"“",""),"”",""))))</f>
        <v/>
      </c>
      <c r="P32" s="46">
        <f>IF($A32="","",LOWER(TRIM(SUBSTITUTE(SUBSTITUTE(SUBSTITUTE(SUBSTITUTE(SUBSTITUTE(SUBSTITUTE(SUBSTITUTE(SUBSTITUTE(SUBSTITUTE(SUBSTITUTE(SUBSTITUTE(F32,".",""),",",""),";",""),":",""),"!",""),"?",""),"""",""),"'",""),"’",""),"“",""),"”",""))))</f>
        <v/>
      </c>
      <c r="Q32" s="46">
        <f>IF($A32="","",LOWER(TRIM(SUBSTITUTE(SUBSTITUTE(SUBSTITUTE(SUBSTITUTE(SUBSTITUTE(SUBSTITUTE(SUBSTITUTE(SUBSTITUTE(SUBSTITUTE(SUBSTITUTE(SUBSTITUTE(G32,".",""),",",""),";",""),":",""),"!",""),"?",""),"""",""),"'",""),"’",""),"“",""),"”",""))))</f>
        <v/>
      </c>
      <c r="R32" s="46">
        <f>IF($A32="","",LEN(O32))</f>
        <v/>
      </c>
      <c r="S32" s="46">
        <f>IF($A32="","",IF(O32="",0,LEN(O32)-LEN(SUBSTITUTE(O32," ",""))+1))</f>
        <v/>
      </c>
      <c r="T32" s="46">
        <f>IF($A32="","",IF(AND(O32&lt;&gt;"",OR(O32=M32,AND(N32&lt;&gt;"",ISNUMBER(FIND("|"&amp;O32&amp;"|","|"&amp;N32&amp;"|"))))),1,0))</f>
        <v/>
      </c>
      <c r="U32" s="46">
        <f>IF($A32="","",IF(AND(Q32&lt;&gt;"",OR(Q32=M32,AND(N32&lt;&gt;"",ISNUMBER(FIND("|"&amp;Q32&amp;"|","|"&amp;N32&amp;"|"))))),1,0))</f>
        <v/>
      </c>
      <c r="V32" s="46">
        <f>IF($A32="","",IF(P32=O32,1,0))</f>
        <v/>
      </c>
      <c r="W32" s="46">
        <f>IF($A32="","",IF(Q32=O32,1,0))</f>
        <v/>
      </c>
      <c r="X32" s="46">
        <f>IF(OR($A32="",$H32=""),"",IF(AND($H32=1,T32=1),"TA",IF(AND($H32=0,T32=1),"FA",IF($H32=1,"FR","TR"))))</f>
        <v/>
      </c>
      <c r="Y32" s="46">
        <f>IF(OR($A32="",$H32=""),"",IF(AND($H32=1,U32=1),"TA",IF(AND($H32=0,U32=1),"FA",IF($H32=1,"FR","TR"))))</f>
        <v/>
      </c>
    </row>
    <row r="33" ht="15" customHeight="1" s="28">
      <c r="A33" s="54" t="n"/>
      <c r="B33" s="54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46">
        <f>IF($A33="","",LOWER(TRIM(SUBSTITUTE(SUBSTITUTE(SUBSTITUTE(SUBSTITUTE(SUBSTITUTE(SUBSTITUTE(SUBSTITUTE(SUBSTITUTE(SUBSTITUTE(SUBSTITUTE(SUBSTITUTE(C33,".",""),",",""),";",""),":",""),"!",""),"?",""),"""",""),"'",""),"’",""),"“",""),"”",""))))</f>
        <v/>
      </c>
      <c r="N33" s="46">
        <f>IF($A33="","",SUBSTITUTE(SUBSTITUTE(LOWER(TRIM(SUBSTITUTE(SUBSTITUTE(SUBSTITUTE(SUBSTITUTE(SUBSTITUTE(SUBSTITUTE(SUBSTITUTE(SUBSTITUTE(SUBSTITUTE(SUBSTITUTE(SUBSTITUTE(D33,".",""),",",""),";",""),":",""),"!",""),"?",""),"""",""),"'",""),"’",""),"“",""),"”","")))," |","|"),"| ","|"))</f>
        <v/>
      </c>
      <c r="O33" s="46">
        <f>IF($A33="","",LOWER(TRIM(SUBSTITUTE(SUBSTITUTE(SUBSTITUTE(SUBSTITUTE(SUBSTITUTE(SUBSTITUTE(SUBSTITUTE(SUBSTITUTE(SUBSTITUTE(SUBSTITUTE(SUBSTITUTE(E33,".",""),",",""),";",""),":",""),"!",""),"?",""),"""",""),"'",""),"’",""),"“",""),"”",""))))</f>
        <v/>
      </c>
      <c r="P33" s="46">
        <f>IF($A33="","",LOWER(TRIM(SUBSTITUTE(SUBSTITUTE(SUBSTITUTE(SUBSTITUTE(SUBSTITUTE(SUBSTITUTE(SUBSTITUTE(SUBSTITUTE(SUBSTITUTE(SUBSTITUTE(SUBSTITUTE(F33,".",""),",",""),";",""),":",""),"!",""),"?",""),"""",""),"'",""),"’",""),"“",""),"”",""))))</f>
        <v/>
      </c>
      <c r="Q33" s="46">
        <f>IF($A33="","",LOWER(TRIM(SUBSTITUTE(SUBSTITUTE(SUBSTITUTE(SUBSTITUTE(SUBSTITUTE(SUBSTITUTE(SUBSTITUTE(SUBSTITUTE(SUBSTITUTE(SUBSTITUTE(SUBSTITUTE(G33,".",""),",",""),";",""),":",""),"!",""),"?",""),"""",""),"'",""),"’",""),"“",""),"”",""))))</f>
        <v/>
      </c>
      <c r="R33" s="46">
        <f>IF($A33="","",LEN(O33))</f>
        <v/>
      </c>
      <c r="S33" s="46">
        <f>IF($A33="","",IF(O33="",0,LEN(O33)-LEN(SUBSTITUTE(O33," ",""))+1))</f>
        <v/>
      </c>
      <c r="T33" s="46">
        <f>IF($A33="","",IF(AND(O33&lt;&gt;"",OR(O33=M33,AND(N33&lt;&gt;"",ISNUMBER(FIND("|"&amp;O33&amp;"|","|"&amp;N33&amp;"|"))))),1,0))</f>
        <v/>
      </c>
      <c r="U33" s="46">
        <f>IF($A33="","",IF(AND(Q33&lt;&gt;"",OR(Q33=M33,AND(N33&lt;&gt;"",ISNUMBER(FIND("|"&amp;Q33&amp;"|","|"&amp;N33&amp;"|"))))),1,0))</f>
        <v/>
      </c>
      <c r="V33" s="46">
        <f>IF($A33="","",IF(P33=O33,1,0))</f>
        <v/>
      </c>
      <c r="W33" s="46">
        <f>IF($A33="","",IF(Q33=O33,1,0))</f>
        <v/>
      </c>
      <c r="X33" s="46">
        <f>IF(OR($A33="",$H33=""),"",IF(AND($H33=1,T33=1),"TA",IF(AND($H33=0,T33=1),"FA",IF($H33=1,"FR","TR"))))</f>
        <v/>
      </c>
      <c r="Y33" s="46">
        <f>IF(OR($A33="",$H33=""),"",IF(AND($H33=1,U33=1),"TA",IF(AND($H33=0,U33=1),"FA",IF($H33=1,"FR","TR"))))</f>
        <v/>
      </c>
    </row>
    <row r="34" ht="15" customHeight="1" s="28">
      <c r="A34" s="54" t="n"/>
      <c r="B34" s="54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4" t="n"/>
      <c r="M34" s="46">
        <f>IF($A34="","",LOWER(TRIM(SUBSTITUTE(SUBSTITUTE(SUBSTITUTE(SUBSTITUTE(SUBSTITUTE(SUBSTITUTE(SUBSTITUTE(SUBSTITUTE(SUBSTITUTE(SUBSTITUTE(SUBSTITUTE(C34,".",""),",",""),";",""),":",""),"!",""),"?",""),"""",""),"'",""),"’",""),"“",""),"”",""))))</f>
        <v/>
      </c>
      <c r="N34" s="46">
        <f>IF($A34="","",SUBSTITUTE(SUBSTITUTE(LOWER(TRIM(SUBSTITUTE(SUBSTITUTE(SUBSTITUTE(SUBSTITUTE(SUBSTITUTE(SUBSTITUTE(SUBSTITUTE(SUBSTITUTE(SUBSTITUTE(SUBSTITUTE(SUBSTITUTE(D34,".",""),",",""),";",""),":",""),"!",""),"?",""),"""",""),"'",""),"’",""),"“",""),"”","")))," |","|"),"| ","|"))</f>
        <v/>
      </c>
      <c r="O34" s="46">
        <f>IF($A34="","",LOWER(TRIM(SUBSTITUTE(SUBSTITUTE(SUBSTITUTE(SUBSTITUTE(SUBSTITUTE(SUBSTITUTE(SUBSTITUTE(SUBSTITUTE(SUBSTITUTE(SUBSTITUTE(SUBSTITUTE(E34,".",""),",",""),";",""),":",""),"!",""),"?",""),"""",""),"'",""),"’",""),"“",""),"”",""))))</f>
        <v/>
      </c>
      <c r="P34" s="46">
        <f>IF($A34="","",LOWER(TRIM(SUBSTITUTE(SUBSTITUTE(SUBSTITUTE(SUBSTITUTE(SUBSTITUTE(SUBSTITUTE(SUBSTITUTE(SUBSTITUTE(SUBSTITUTE(SUBSTITUTE(SUBSTITUTE(F34,".",""),",",""),";",""),":",""),"!",""),"?",""),"""",""),"'",""),"’",""),"“",""),"”",""))))</f>
        <v/>
      </c>
      <c r="Q34" s="46">
        <f>IF($A34="","",LOWER(TRIM(SUBSTITUTE(SUBSTITUTE(SUBSTITUTE(SUBSTITUTE(SUBSTITUTE(SUBSTITUTE(SUBSTITUTE(SUBSTITUTE(SUBSTITUTE(SUBSTITUTE(SUBSTITUTE(G34,".",""),",",""),";",""),":",""),"!",""),"?",""),"""",""),"'",""),"’",""),"“",""),"”",""))))</f>
        <v/>
      </c>
      <c r="R34" s="46">
        <f>IF($A34="","",LEN(O34))</f>
        <v/>
      </c>
      <c r="S34" s="46">
        <f>IF($A34="","",IF(O34="",0,LEN(O34)-LEN(SUBSTITUTE(O34," ",""))+1))</f>
        <v/>
      </c>
      <c r="T34" s="46">
        <f>IF($A34="","",IF(AND(O34&lt;&gt;"",OR(O34=M34,AND(N34&lt;&gt;"",ISNUMBER(FIND("|"&amp;O34&amp;"|","|"&amp;N34&amp;"|"))))),1,0))</f>
        <v/>
      </c>
      <c r="U34" s="46">
        <f>IF($A34="","",IF(AND(Q34&lt;&gt;"",OR(Q34=M34,AND(N34&lt;&gt;"",ISNUMBER(FIND("|"&amp;Q34&amp;"|","|"&amp;N34&amp;"|"))))),1,0))</f>
        <v/>
      </c>
      <c r="V34" s="46">
        <f>IF($A34="","",IF(P34=O34,1,0))</f>
        <v/>
      </c>
      <c r="W34" s="46">
        <f>IF($A34="","",IF(Q34=O34,1,0))</f>
        <v/>
      </c>
      <c r="X34" s="46">
        <f>IF(OR($A34="",$H34=""),"",IF(AND($H34=1,T34=1),"TA",IF(AND($H34=0,T34=1),"FA",IF($H34=1,"FR","TR"))))</f>
        <v/>
      </c>
      <c r="Y34" s="46">
        <f>IF(OR($A34="",$H34=""),"",IF(AND($H34=1,U34=1),"TA",IF(AND($H34=0,U34=1),"FA",IF($H34=1,"FR","TR"))))</f>
        <v/>
      </c>
    </row>
    <row r="35" ht="15" customHeight="1" s="28">
      <c r="A35" s="54" t="n"/>
      <c r="B35" s="54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4" t="n"/>
      <c r="M35" s="46">
        <f>IF($A35="","",LOWER(TRIM(SUBSTITUTE(SUBSTITUTE(SUBSTITUTE(SUBSTITUTE(SUBSTITUTE(SUBSTITUTE(SUBSTITUTE(SUBSTITUTE(SUBSTITUTE(SUBSTITUTE(SUBSTITUTE(C35,".",""),",",""),";",""),":",""),"!",""),"?",""),"""",""),"'",""),"’",""),"“",""),"”",""))))</f>
        <v/>
      </c>
      <c r="N35" s="46">
        <f>IF($A35="","",SUBSTITUTE(SUBSTITUTE(LOWER(TRIM(SUBSTITUTE(SUBSTITUTE(SUBSTITUTE(SUBSTITUTE(SUBSTITUTE(SUBSTITUTE(SUBSTITUTE(SUBSTITUTE(SUBSTITUTE(SUBSTITUTE(SUBSTITUTE(D35,".",""),",",""),";",""),":",""),"!",""),"?",""),"""",""),"'",""),"’",""),"“",""),"”","")))," |","|"),"| ","|"))</f>
        <v/>
      </c>
      <c r="O35" s="46">
        <f>IF($A35="","",LOWER(TRIM(SUBSTITUTE(SUBSTITUTE(SUBSTITUTE(SUBSTITUTE(SUBSTITUTE(SUBSTITUTE(SUBSTITUTE(SUBSTITUTE(SUBSTITUTE(SUBSTITUTE(SUBSTITUTE(E35,".",""),",",""),";",""),":",""),"!",""),"?",""),"""",""),"'",""),"’",""),"“",""),"”",""))))</f>
        <v/>
      </c>
      <c r="P35" s="46">
        <f>IF($A35="","",LOWER(TRIM(SUBSTITUTE(SUBSTITUTE(SUBSTITUTE(SUBSTITUTE(SUBSTITUTE(SUBSTITUTE(SUBSTITUTE(SUBSTITUTE(SUBSTITUTE(SUBSTITUTE(SUBSTITUTE(F35,".",""),",",""),";",""),":",""),"!",""),"?",""),"""",""),"'",""),"’",""),"“",""),"”",""))))</f>
        <v/>
      </c>
      <c r="Q35" s="46">
        <f>IF($A35="","",LOWER(TRIM(SUBSTITUTE(SUBSTITUTE(SUBSTITUTE(SUBSTITUTE(SUBSTITUTE(SUBSTITUTE(SUBSTITUTE(SUBSTITUTE(SUBSTITUTE(SUBSTITUTE(SUBSTITUTE(G35,".",""),",",""),";",""),":",""),"!",""),"?",""),"""",""),"'",""),"’",""),"“",""),"”",""))))</f>
        <v/>
      </c>
      <c r="R35" s="46">
        <f>IF($A35="","",LEN(O35))</f>
        <v/>
      </c>
      <c r="S35" s="46">
        <f>IF($A35="","",IF(O35="",0,LEN(O35)-LEN(SUBSTITUTE(O35," ",""))+1))</f>
        <v/>
      </c>
      <c r="T35" s="46">
        <f>IF($A35="","",IF(AND(O35&lt;&gt;"",OR(O35=M35,AND(N35&lt;&gt;"",ISNUMBER(FIND("|"&amp;O35&amp;"|","|"&amp;N35&amp;"|"))))),1,0))</f>
        <v/>
      </c>
      <c r="U35" s="46">
        <f>IF($A35="","",IF(AND(Q35&lt;&gt;"",OR(Q35=M35,AND(N35&lt;&gt;"",ISNUMBER(FIND("|"&amp;Q35&amp;"|","|"&amp;N35&amp;"|"))))),1,0))</f>
        <v/>
      </c>
      <c r="V35" s="46">
        <f>IF($A35="","",IF(P35=O35,1,0))</f>
        <v/>
      </c>
      <c r="W35" s="46">
        <f>IF($A35="","",IF(Q35=O35,1,0))</f>
        <v/>
      </c>
      <c r="X35" s="46">
        <f>IF(OR($A35="",$H35=""),"",IF(AND($H35=1,T35=1),"TA",IF(AND($H35=0,T35=1),"FA",IF($H35=1,"FR","TR"))))</f>
        <v/>
      </c>
      <c r="Y35" s="46">
        <f>IF(OR($A35="",$H35=""),"",IF(AND($H35=1,U35=1),"TA",IF(AND($H35=0,U35=1),"FA",IF($H35=1,"FR","TR"))))</f>
        <v/>
      </c>
    </row>
    <row r="36" ht="15" customHeight="1" s="28">
      <c r="A36" s="54" t="n"/>
      <c r="B36" s="54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4" t="n"/>
      <c r="M36" s="46">
        <f>IF($A36="","",LOWER(TRIM(SUBSTITUTE(SUBSTITUTE(SUBSTITUTE(SUBSTITUTE(SUBSTITUTE(SUBSTITUTE(SUBSTITUTE(SUBSTITUTE(SUBSTITUTE(SUBSTITUTE(SUBSTITUTE(C36,".",""),",",""),";",""),":",""),"!",""),"?",""),"""",""),"'",""),"’",""),"“",""),"”",""))))</f>
        <v/>
      </c>
      <c r="N36" s="46">
        <f>IF($A36="","",SUBSTITUTE(SUBSTITUTE(LOWER(TRIM(SUBSTITUTE(SUBSTITUTE(SUBSTITUTE(SUBSTITUTE(SUBSTITUTE(SUBSTITUTE(SUBSTITUTE(SUBSTITUTE(SUBSTITUTE(SUBSTITUTE(SUBSTITUTE(D36,".",""),",",""),";",""),":",""),"!",""),"?",""),"""",""),"'",""),"’",""),"“",""),"”","")))," |","|"),"| ","|"))</f>
        <v/>
      </c>
      <c r="O36" s="46">
        <f>IF($A36="","",LOWER(TRIM(SUBSTITUTE(SUBSTITUTE(SUBSTITUTE(SUBSTITUTE(SUBSTITUTE(SUBSTITUTE(SUBSTITUTE(SUBSTITUTE(SUBSTITUTE(SUBSTITUTE(SUBSTITUTE(E36,".",""),",",""),";",""),":",""),"!",""),"?",""),"""",""),"'",""),"’",""),"“",""),"”",""))))</f>
        <v/>
      </c>
      <c r="P36" s="46">
        <f>IF($A36="","",LOWER(TRIM(SUBSTITUTE(SUBSTITUTE(SUBSTITUTE(SUBSTITUTE(SUBSTITUTE(SUBSTITUTE(SUBSTITUTE(SUBSTITUTE(SUBSTITUTE(SUBSTITUTE(SUBSTITUTE(F36,".",""),",",""),";",""),":",""),"!",""),"?",""),"""",""),"'",""),"’",""),"“",""),"”",""))))</f>
        <v/>
      </c>
      <c r="Q36" s="46">
        <f>IF($A36="","",LOWER(TRIM(SUBSTITUTE(SUBSTITUTE(SUBSTITUTE(SUBSTITUTE(SUBSTITUTE(SUBSTITUTE(SUBSTITUTE(SUBSTITUTE(SUBSTITUTE(SUBSTITUTE(SUBSTITUTE(G36,".",""),",",""),";",""),":",""),"!",""),"?",""),"""",""),"'",""),"’",""),"“",""),"”",""))))</f>
        <v/>
      </c>
      <c r="R36" s="46">
        <f>IF($A36="","",LEN(O36))</f>
        <v/>
      </c>
      <c r="S36" s="46">
        <f>IF($A36="","",IF(O36="",0,LEN(O36)-LEN(SUBSTITUTE(O36," ",""))+1))</f>
        <v/>
      </c>
      <c r="T36" s="46">
        <f>IF($A36="","",IF(AND(O36&lt;&gt;"",OR(O36=M36,AND(N36&lt;&gt;"",ISNUMBER(FIND("|"&amp;O36&amp;"|","|"&amp;N36&amp;"|"))))),1,0))</f>
        <v/>
      </c>
      <c r="U36" s="46">
        <f>IF($A36="","",IF(AND(Q36&lt;&gt;"",OR(Q36=M36,AND(N36&lt;&gt;"",ISNUMBER(FIND("|"&amp;Q36&amp;"|","|"&amp;N36&amp;"|"))))),1,0))</f>
        <v/>
      </c>
      <c r="V36" s="46">
        <f>IF($A36="","",IF(P36=O36,1,0))</f>
        <v/>
      </c>
      <c r="W36" s="46">
        <f>IF($A36="","",IF(Q36=O36,1,0))</f>
        <v/>
      </c>
      <c r="X36" s="46">
        <f>IF(OR($A36="",$H36=""),"",IF(AND($H36=1,T36=1),"TA",IF(AND($H36=0,T36=1),"FA",IF($H36=1,"FR","TR"))))</f>
        <v/>
      </c>
      <c r="Y36" s="46">
        <f>IF(OR($A36="",$H36=""),"",IF(AND($H36=1,U36=1),"TA",IF(AND($H36=0,U36=1),"FA",IF($H36=1,"FR","TR"))))</f>
        <v/>
      </c>
    </row>
    <row r="37" ht="15" customHeight="1" s="28">
      <c r="A37" s="54" t="n"/>
      <c r="B37" s="54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4" t="n"/>
      <c r="M37" s="46">
        <f>IF($A37="","",LOWER(TRIM(SUBSTITUTE(SUBSTITUTE(SUBSTITUTE(SUBSTITUTE(SUBSTITUTE(SUBSTITUTE(SUBSTITUTE(SUBSTITUTE(SUBSTITUTE(SUBSTITUTE(SUBSTITUTE(C37,".",""),",",""),";",""),":",""),"!",""),"?",""),"""",""),"'",""),"’",""),"“",""),"”",""))))</f>
        <v/>
      </c>
      <c r="N37" s="46">
        <f>IF($A37="","",SUBSTITUTE(SUBSTITUTE(LOWER(TRIM(SUBSTITUTE(SUBSTITUTE(SUBSTITUTE(SUBSTITUTE(SUBSTITUTE(SUBSTITUTE(SUBSTITUTE(SUBSTITUTE(SUBSTITUTE(SUBSTITUTE(SUBSTITUTE(D37,".",""),",",""),";",""),":",""),"!",""),"?",""),"""",""),"'",""),"’",""),"“",""),"”","")))," |","|"),"| ","|"))</f>
        <v/>
      </c>
      <c r="O37" s="46">
        <f>IF($A37="","",LOWER(TRIM(SUBSTITUTE(SUBSTITUTE(SUBSTITUTE(SUBSTITUTE(SUBSTITUTE(SUBSTITUTE(SUBSTITUTE(SUBSTITUTE(SUBSTITUTE(SUBSTITUTE(SUBSTITUTE(E37,".",""),",",""),";",""),":",""),"!",""),"?",""),"""",""),"'",""),"’",""),"“",""),"”",""))))</f>
        <v/>
      </c>
      <c r="P37" s="46">
        <f>IF($A37="","",LOWER(TRIM(SUBSTITUTE(SUBSTITUTE(SUBSTITUTE(SUBSTITUTE(SUBSTITUTE(SUBSTITUTE(SUBSTITUTE(SUBSTITUTE(SUBSTITUTE(SUBSTITUTE(SUBSTITUTE(F37,".",""),",",""),";",""),":",""),"!",""),"?",""),"""",""),"'",""),"’",""),"“",""),"”",""))))</f>
        <v/>
      </c>
      <c r="Q37" s="46">
        <f>IF($A37="","",LOWER(TRIM(SUBSTITUTE(SUBSTITUTE(SUBSTITUTE(SUBSTITUTE(SUBSTITUTE(SUBSTITUTE(SUBSTITUTE(SUBSTITUTE(SUBSTITUTE(SUBSTITUTE(SUBSTITUTE(G37,".",""),",",""),";",""),":",""),"!",""),"?",""),"""",""),"'",""),"’",""),"“",""),"”",""))))</f>
        <v/>
      </c>
      <c r="R37" s="46">
        <f>IF($A37="","",LEN(O37))</f>
        <v/>
      </c>
      <c r="S37" s="46">
        <f>IF($A37="","",IF(O37="",0,LEN(O37)-LEN(SUBSTITUTE(O37," ",""))+1))</f>
        <v/>
      </c>
      <c r="T37" s="46">
        <f>IF($A37="","",IF(AND(O37&lt;&gt;"",OR(O37=M37,AND(N37&lt;&gt;"",ISNUMBER(FIND("|"&amp;O37&amp;"|","|"&amp;N37&amp;"|"))))),1,0))</f>
        <v/>
      </c>
      <c r="U37" s="46">
        <f>IF($A37="","",IF(AND(Q37&lt;&gt;"",OR(Q37=M37,AND(N37&lt;&gt;"",ISNUMBER(FIND("|"&amp;Q37&amp;"|","|"&amp;N37&amp;"|"))))),1,0))</f>
        <v/>
      </c>
      <c r="V37" s="46">
        <f>IF($A37="","",IF(P37=O37,1,0))</f>
        <v/>
      </c>
      <c r="W37" s="46">
        <f>IF($A37="","",IF(Q37=O37,1,0))</f>
        <v/>
      </c>
      <c r="X37" s="46">
        <f>IF(OR($A37="",$H37=""),"",IF(AND($H37=1,T37=1),"TA",IF(AND($H37=0,T37=1),"FA",IF($H37=1,"FR","TR"))))</f>
        <v/>
      </c>
      <c r="Y37" s="46">
        <f>IF(OR($A37="",$H37=""),"",IF(AND($H37=1,U37=1),"TA",IF(AND($H37=0,U37=1),"FA",IF($H37=1,"FR","TR"))))</f>
        <v/>
      </c>
    </row>
    <row r="38" ht="15" customHeight="1" s="28">
      <c r="A38" s="54" t="n"/>
      <c r="B38" s="54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4" t="n"/>
      <c r="M38" s="46">
        <f>IF($A38="","",LOWER(TRIM(SUBSTITUTE(SUBSTITUTE(SUBSTITUTE(SUBSTITUTE(SUBSTITUTE(SUBSTITUTE(SUBSTITUTE(SUBSTITUTE(SUBSTITUTE(SUBSTITUTE(SUBSTITUTE(C38,".",""),",",""),";",""),":",""),"!",""),"?",""),"""",""),"'",""),"’",""),"“",""),"”",""))))</f>
        <v/>
      </c>
      <c r="N38" s="46">
        <f>IF($A38="","",SUBSTITUTE(SUBSTITUTE(LOWER(TRIM(SUBSTITUTE(SUBSTITUTE(SUBSTITUTE(SUBSTITUTE(SUBSTITUTE(SUBSTITUTE(SUBSTITUTE(SUBSTITUTE(SUBSTITUTE(SUBSTITUTE(SUBSTITUTE(D38,".",""),",",""),";",""),":",""),"!",""),"?",""),"""",""),"'",""),"’",""),"“",""),"”","")))," |","|"),"| ","|"))</f>
        <v/>
      </c>
      <c r="O38" s="46">
        <f>IF($A38="","",LOWER(TRIM(SUBSTITUTE(SUBSTITUTE(SUBSTITUTE(SUBSTITUTE(SUBSTITUTE(SUBSTITUTE(SUBSTITUTE(SUBSTITUTE(SUBSTITUTE(SUBSTITUTE(SUBSTITUTE(E38,".",""),",",""),";",""),":",""),"!",""),"?",""),"""",""),"'",""),"’",""),"“",""),"”",""))))</f>
        <v/>
      </c>
      <c r="P38" s="46">
        <f>IF($A38="","",LOWER(TRIM(SUBSTITUTE(SUBSTITUTE(SUBSTITUTE(SUBSTITUTE(SUBSTITUTE(SUBSTITUTE(SUBSTITUTE(SUBSTITUTE(SUBSTITUTE(SUBSTITUTE(SUBSTITUTE(F38,".",""),",",""),";",""),":",""),"!",""),"?",""),"""",""),"'",""),"’",""),"“",""),"”",""))))</f>
        <v/>
      </c>
      <c r="Q38" s="46">
        <f>IF($A38="","",LOWER(TRIM(SUBSTITUTE(SUBSTITUTE(SUBSTITUTE(SUBSTITUTE(SUBSTITUTE(SUBSTITUTE(SUBSTITUTE(SUBSTITUTE(SUBSTITUTE(SUBSTITUTE(SUBSTITUTE(G38,".",""),",",""),";",""),":",""),"!",""),"?",""),"""",""),"'",""),"’",""),"“",""),"”",""))))</f>
        <v/>
      </c>
      <c r="R38" s="46">
        <f>IF($A38="","",LEN(O38))</f>
        <v/>
      </c>
      <c r="S38" s="46">
        <f>IF($A38="","",IF(O38="",0,LEN(O38)-LEN(SUBSTITUTE(O38," ",""))+1))</f>
        <v/>
      </c>
      <c r="T38" s="46">
        <f>IF($A38="","",IF(AND(O38&lt;&gt;"",OR(O38=M38,AND(N38&lt;&gt;"",ISNUMBER(FIND("|"&amp;O38&amp;"|","|"&amp;N38&amp;"|"))))),1,0))</f>
        <v/>
      </c>
      <c r="U38" s="46">
        <f>IF($A38="","",IF(AND(Q38&lt;&gt;"",OR(Q38=M38,AND(N38&lt;&gt;"",ISNUMBER(FIND("|"&amp;Q38&amp;"|","|"&amp;N38&amp;"|"))))),1,0))</f>
        <v/>
      </c>
      <c r="V38" s="46">
        <f>IF($A38="","",IF(P38=O38,1,0))</f>
        <v/>
      </c>
      <c r="W38" s="46">
        <f>IF($A38="","",IF(Q38=O38,1,0))</f>
        <v/>
      </c>
      <c r="X38" s="46">
        <f>IF(OR($A38="",$H38=""),"",IF(AND($H38=1,T38=1),"TA",IF(AND($H38=0,T38=1),"FA",IF($H38=1,"FR","TR"))))</f>
        <v/>
      </c>
      <c r="Y38" s="46">
        <f>IF(OR($A38="",$H38=""),"",IF(AND($H38=1,U38=1),"TA",IF(AND($H38=0,U38=1),"FA",IF($H38=1,"FR","TR"))))</f>
        <v/>
      </c>
    </row>
    <row r="39" ht="15" customHeight="1" s="28">
      <c r="A39" s="54" t="n"/>
      <c r="B39" s="54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4" t="n"/>
      <c r="M39" s="46">
        <f>IF($A39="","",LOWER(TRIM(SUBSTITUTE(SUBSTITUTE(SUBSTITUTE(SUBSTITUTE(SUBSTITUTE(SUBSTITUTE(SUBSTITUTE(SUBSTITUTE(SUBSTITUTE(SUBSTITUTE(SUBSTITUTE(C39,".",""),",",""),";",""),":",""),"!",""),"?",""),"""",""),"'",""),"’",""),"“",""),"”",""))))</f>
        <v/>
      </c>
      <c r="N39" s="46">
        <f>IF($A39="","",SUBSTITUTE(SUBSTITUTE(LOWER(TRIM(SUBSTITUTE(SUBSTITUTE(SUBSTITUTE(SUBSTITUTE(SUBSTITUTE(SUBSTITUTE(SUBSTITUTE(SUBSTITUTE(SUBSTITUTE(SUBSTITUTE(SUBSTITUTE(D39,".",""),",",""),";",""),":",""),"!",""),"?",""),"""",""),"'",""),"’",""),"“",""),"”","")))," |","|"),"| ","|"))</f>
        <v/>
      </c>
      <c r="O39" s="46">
        <f>IF($A39="","",LOWER(TRIM(SUBSTITUTE(SUBSTITUTE(SUBSTITUTE(SUBSTITUTE(SUBSTITUTE(SUBSTITUTE(SUBSTITUTE(SUBSTITUTE(SUBSTITUTE(SUBSTITUTE(SUBSTITUTE(E39,".",""),",",""),";",""),":",""),"!",""),"?",""),"""",""),"'",""),"’",""),"“",""),"”",""))))</f>
        <v/>
      </c>
      <c r="P39" s="46">
        <f>IF($A39="","",LOWER(TRIM(SUBSTITUTE(SUBSTITUTE(SUBSTITUTE(SUBSTITUTE(SUBSTITUTE(SUBSTITUTE(SUBSTITUTE(SUBSTITUTE(SUBSTITUTE(SUBSTITUTE(SUBSTITUTE(F39,".",""),",",""),";",""),":",""),"!",""),"?",""),"""",""),"'",""),"’",""),"“",""),"”",""))))</f>
        <v/>
      </c>
      <c r="Q39" s="46">
        <f>IF($A39="","",LOWER(TRIM(SUBSTITUTE(SUBSTITUTE(SUBSTITUTE(SUBSTITUTE(SUBSTITUTE(SUBSTITUTE(SUBSTITUTE(SUBSTITUTE(SUBSTITUTE(SUBSTITUTE(SUBSTITUTE(G39,".",""),",",""),";",""),":",""),"!",""),"?",""),"""",""),"'",""),"’",""),"“",""),"”",""))))</f>
        <v/>
      </c>
      <c r="R39" s="46">
        <f>IF($A39="","",LEN(O39))</f>
        <v/>
      </c>
      <c r="S39" s="46">
        <f>IF($A39="","",IF(O39="",0,LEN(O39)-LEN(SUBSTITUTE(O39," ",""))+1))</f>
        <v/>
      </c>
      <c r="T39" s="46">
        <f>IF($A39="","",IF(AND(O39&lt;&gt;"",OR(O39=M39,AND(N39&lt;&gt;"",ISNUMBER(FIND("|"&amp;O39&amp;"|","|"&amp;N39&amp;"|"))))),1,0))</f>
        <v/>
      </c>
      <c r="U39" s="46">
        <f>IF($A39="","",IF(AND(Q39&lt;&gt;"",OR(Q39=M39,AND(N39&lt;&gt;"",ISNUMBER(FIND("|"&amp;Q39&amp;"|","|"&amp;N39&amp;"|"))))),1,0))</f>
        <v/>
      </c>
      <c r="V39" s="46">
        <f>IF($A39="","",IF(P39=O39,1,0))</f>
        <v/>
      </c>
      <c r="W39" s="46">
        <f>IF($A39="","",IF(Q39=O39,1,0))</f>
        <v/>
      </c>
      <c r="X39" s="46">
        <f>IF(OR($A39="",$H39=""),"",IF(AND($H39=1,T39=1),"TA",IF(AND($H39=0,T39=1),"FA",IF($H39=1,"FR","TR"))))</f>
        <v/>
      </c>
      <c r="Y39" s="46">
        <f>IF(OR($A39="",$H39=""),"",IF(AND($H39=1,U39=1),"TA",IF(AND($H39=0,U39=1),"FA",IF($H39=1,"FR","TR"))))</f>
        <v/>
      </c>
    </row>
    <row r="40" ht="15" customHeight="1" s="28">
      <c r="A40" s="54" t="n"/>
      <c r="B40" s="54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4" t="n"/>
      <c r="M40" s="46">
        <f>IF($A40="","",LOWER(TRIM(SUBSTITUTE(SUBSTITUTE(SUBSTITUTE(SUBSTITUTE(SUBSTITUTE(SUBSTITUTE(SUBSTITUTE(SUBSTITUTE(SUBSTITUTE(SUBSTITUTE(SUBSTITUTE(C40,".",""),",",""),";",""),":",""),"!",""),"?",""),"""",""),"'",""),"’",""),"“",""),"”",""))))</f>
        <v/>
      </c>
      <c r="N40" s="46">
        <f>IF($A40="","",SUBSTITUTE(SUBSTITUTE(LOWER(TRIM(SUBSTITUTE(SUBSTITUTE(SUBSTITUTE(SUBSTITUTE(SUBSTITUTE(SUBSTITUTE(SUBSTITUTE(SUBSTITUTE(SUBSTITUTE(SUBSTITUTE(SUBSTITUTE(D40,".",""),",",""),";",""),":",""),"!",""),"?",""),"""",""),"'",""),"’",""),"“",""),"”","")))," |","|"),"| ","|"))</f>
        <v/>
      </c>
      <c r="O40" s="46">
        <f>IF($A40="","",LOWER(TRIM(SUBSTITUTE(SUBSTITUTE(SUBSTITUTE(SUBSTITUTE(SUBSTITUTE(SUBSTITUTE(SUBSTITUTE(SUBSTITUTE(SUBSTITUTE(SUBSTITUTE(SUBSTITUTE(E40,".",""),",",""),";",""),":",""),"!",""),"?",""),"""",""),"'",""),"’",""),"“",""),"”",""))))</f>
        <v/>
      </c>
      <c r="P40" s="46">
        <f>IF($A40="","",LOWER(TRIM(SUBSTITUTE(SUBSTITUTE(SUBSTITUTE(SUBSTITUTE(SUBSTITUTE(SUBSTITUTE(SUBSTITUTE(SUBSTITUTE(SUBSTITUTE(SUBSTITUTE(SUBSTITUTE(F40,".",""),",",""),";",""),":",""),"!",""),"?",""),"""",""),"'",""),"’",""),"“",""),"”",""))))</f>
        <v/>
      </c>
      <c r="Q40" s="46">
        <f>IF($A40="","",LOWER(TRIM(SUBSTITUTE(SUBSTITUTE(SUBSTITUTE(SUBSTITUTE(SUBSTITUTE(SUBSTITUTE(SUBSTITUTE(SUBSTITUTE(SUBSTITUTE(SUBSTITUTE(SUBSTITUTE(G40,".",""),",",""),";",""),":",""),"!",""),"?",""),"""",""),"'",""),"’",""),"“",""),"”",""))))</f>
        <v/>
      </c>
      <c r="R40" s="46">
        <f>IF($A40="","",LEN(O40))</f>
        <v/>
      </c>
      <c r="S40" s="46">
        <f>IF($A40="","",IF(O40="",0,LEN(O40)-LEN(SUBSTITUTE(O40," ",""))+1))</f>
        <v/>
      </c>
      <c r="T40" s="46">
        <f>IF($A40="","",IF(AND(O40&lt;&gt;"",OR(O40=M40,AND(N40&lt;&gt;"",ISNUMBER(FIND("|"&amp;O40&amp;"|","|"&amp;N40&amp;"|"))))),1,0))</f>
        <v/>
      </c>
      <c r="U40" s="46">
        <f>IF($A40="","",IF(AND(Q40&lt;&gt;"",OR(Q40=M40,AND(N40&lt;&gt;"",ISNUMBER(FIND("|"&amp;Q40&amp;"|","|"&amp;N40&amp;"|"))))),1,0))</f>
        <v/>
      </c>
      <c r="V40" s="46">
        <f>IF($A40="","",IF(P40=O40,1,0))</f>
        <v/>
      </c>
      <c r="W40" s="46">
        <f>IF($A40="","",IF(Q40=O40,1,0))</f>
        <v/>
      </c>
      <c r="X40" s="46">
        <f>IF(OR($A40="",$H40=""),"",IF(AND($H40=1,T40=1),"TA",IF(AND($H40=0,T40=1),"FA",IF($H40=1,"FR","TR"))))</f>
        <v/>
      </c>
      <c r="Y40" s="46">
        <f>IF(OR($A40="",$H40=""),"",IF(AND($H40=1,U40=1),"TA",IF(AND($H40=0,U40=1),"FA",IF($H40=1,"FR","TR"))))</f>
        <v/>
      </c>
    </row>
    <row r="41" ht="15" customHeight="1" s="28">
      <c r="A41" s="54" t="n"/>
      <c r="B41" s="54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4" t="n"/>
      <c r="M41" s="46">
        <f>IF($A41="","",LOWER(TRIM(SUBSTITUTE(SUBSTITUTE(SUBSTITUTE(SUBSTITUTE(SUBSTITUTE(SUBSTITUTE(SUBSTITUTE(SUBSTITUTE(SUBSTITUTE(SUBSTITUTE(SUBSTITUTE(C41,".",""),",",""),";",""),":",""),"!",""),"?",""),"""",""),"'",""),"’",""),"“",""),"”",""))))</f>
        <v/>
      </c>
      <c r="N41" s="46">
        <f>IF($A41="","",SUBSTITUTE(SUBSTITUTE(LOWER(TRIM(SUBSTITUTE(SUBSTITUTE(SUBSTITUTE(SUBSTITUTE(SUBSTITUTE(SUBSTITUTE(SUBSTITUTE(SUBSTITUTE(SUBSTITUTE(SUBSTITUTE(SUBSTITUTE(D41,".",""),",",""),";",""),":",""),"!",""),"?",""),"""",""),"'",""),"’",""),"“",""),"”","")))," |","|"),"| ","|"))</f>
        <v/>
      </c>
      <c r="O41" s="46">
        <f>IF($A41="","",LOWER(TRIM(SUBSTITUTE(SUBSTITUTE(SUBSTITUTE(SUBSTITUTE(SUBSTITUTE(SUBSTITUTE(SUBSTITUTE(SUBSTITUTE(SUBSTITUTE(SUBSTITUTE(SUBSTITUTE(E41,".",""),",",""),";",""),":",""),"!",""),"?",""),"""",""),"'",""),"’",""),"“",""),"”",""))))</f>
        <v/>
      </c>
      <c r="P41" s="46">
        <f>IF($A41="","",LOWER(TRIM(SUBSTITUTE(SUBSTITUTE(SUBSTITUTE(SUBSTITUTE(SUBSTITUTE(SUBSTITUTE(SUBSTITUTE(SUBSTITUTE(SUBSTITUTE(SUBSTITUTE(SUBSTITUTE(F41,".",""),",",""),";",""),":",""),"!",""),"?",""),"""",""),"'",""),"’",""),"“",""),"”",""))))</f>
        <v/>
      </c>
      <c r="Q41" s="46">
        <f>IF($A41="","",LOWER(TRIM(SUBSTITUTE(SUBSTITUTE(SUBSTITUTE(SUBSTITUTE(SUBSTITUTE(SUBSTITUTE(SUBSTITUTE(SUBSTITUTE(SUBSTITUTE(SUBSTITUTE(SUBSTITUTE(G41,".",""),",",""),";",""),":",""),"!",""),"?",""),"""",""),"'",""),"’",""),"“",""),"”",""))))</f>
        <v/>
      </c>
      <c r="R41" s="46">
        <f>IF($A41="","",LEN(O41))</f>
        <v/>
      </c>
      <c r="S41" s="46">
        <f>IF($A41="","",IF(O41="",0,LEN(O41)-LEN(SUBSTITUTE(O41," ",""))+1))</f>
        <v/>
      </c>
      <c r="T41" s="46">
        <f>IF($A41="","",IF(AND(O41&lt;&gt;"",OR(O41=M41,AND(N41&lt;&gt;"",ISNUMBER(FIND("|"&amp;O41&amp;"|","|"&amp;N41&amp;"|"))))),1,0))</f>
        <v/>
      </c>
      <c r="U41" s="46">
        <f>IF($A41="","",IF(AND(Q41&lt;&gt;"",OR(Q41=M41,AND(N41&lt;&gt;"",ISNUMBER(FIND("|"&amp;Q41&amp;"|","|"&amp;N41&amp;"|"))))),1,0))</f>
        <v/>
      </c>
      <c r="V41" s="46">
        <f>IF($A41="","",IF(P41=O41,1,0))</f>
        <v/>
      </c>
      <c r="W41" s="46">
        <f>IF($A41="","",IF(Q41=O41,1,0))</f>
        <v/>
      </c>
      <c r="X41" s="46">
        <f>IF(OR($A41="",$H41=""),"",IF(AND($H41=1,T41=1),"TA",IF(AND($H41=0,T41=1),"FA",IF($H41=1,"FR","TR"))))</f>
        <v/>
      </c>
      <c r="Y41" s="46">
        <f>IF(OR($A41="",$H41=""),"",IF(AND($H41=1,U41=1),"TA",IF(AND($H41=0,U41=1),"FA",IF($H41=1,"FR","TR"))))</f>
        <v/>
      </c>
    </row>
    <row r="42" ht="15" customHeight="1" s="28">
      <c r="A42" s="54" t="n"/>
      <c r="B42" s="54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4" t="n"/>
      <c r="M42" s="46">
        <f>IF($A42="","",LOWER(TRIM(SUBSTITUTE(SUBSTITUTE(SUBSTITUTE(SUBSTITUTE(SUBSTITUTE(SUBSTITUTE(SUBSTITUTE(SUBSTITUTE(SUBSTITUTE(SUBSTITUTE(SUBSTITUTE(C42,".",""),",",""),";",""),":",""),"!",""),"?",""),"""",""),"'",""),"’",""),"“",""),"”",""))))</f>
        <v/>
      </c>
      <c r="N42" s="46">
        <f>IF($A42="","",SUBSTITUTE(SUBSTITUTE(LOWER(TRIM(SUBSTITUTE(SUBSTITUTE(SUBSTITUTE(SUBSTITUTE(SUBSTITUTE(SUBSTITUTE(SUBSTITUTE(SUBSTITUTE(SUBSTITUTE(SUBSTITUTE(SUBSTITUTE(D42,".",""),",",""),";",""),":",""),"!",""),"?",""),"""",""),"'",""),"’",""),"“",""),"”","")))," |","|"),"| ","|"))</f>
        <v/>
      </c>
      <c r="O42" s="46">
        <f>IF($A42="","",LOWER(TRIM(SUBSTITUTE(SUBSTITUTE(SUBSTITUTE(SUBSTITUTE(SUBSTITUTE(SUBSTITUTE(SUBSTITUTE(SUBSTITUTE(SUBSTITUTE(SUBSTITUTE(SUBSTITUTE(E42,".",""),",",""),";",""),":",""),"!",""),"?",""),"""",""),"'",""),"’",""),"“",""),"”",""))))</f>
        <v/>
      </c>
      <c r="P42" s="46">
        <f>IF($A42="","",LOWER(TRIM(SUBSTITUTE(SUBSTITUTE(SUBSTITUTE(SUBSTITUTE(SUBSTITUTE(SUBSTITUTE(SUBSTITUTE(SUBSTITUTE(SUBSTITUTE(SUBSTITUTE(SUBSTITUTE(F42,".",""),",",""),";",""),":",""),"!",""),"?",""),"""",""),"'",""),"’",""),"“",""),"”",""))))</f>
        <v/>
      </c>
      <c r="Q42" s="46">
        <f>IF($A42="","",LOWER(TRIM(SUBSTITUTE(SUBSTITUTE(SUBSTITUTE(SUBSTITUTE(SUBSTITUTE(SUBSTITUTE(SUBSTITUTE(SUBSTITUTE(SUBSTITUTE(SUBSTITUTE(SUBSTITUTE(G42,".",""),",",""),";",""),":",""),"!",""),"?",""),"""",""),"'",""),"’",""),"“",""),"”",""))))</f>
        <v/>
      </c>
      <c r="R42" s="46">
        <f>IF($A42="","",LEN(O42))</f>
        <v/>
      </c>
      <c r="S42" s="46">
        <f>IF($A42="","",IF(O42="",0,LEN(O42)-LEN(SUBSTITUTE(O42," ",""))+1))</f>
        <v/>
      </c>
      <c r="T42" s="46">
        <f>IF($A42="","",IF(AND(O42&lt;&gt;"",OR(O42=M42,AND(N42&lt;&gt;"",ISNUMBER(FIND("|"&amp;O42&amp;"|","|"&amp;N42&amp;"|"))))),1,0))</f>
        <v/>
      </c>
      <c r="U42" s="46">
        <f>IF($A42="","",IF(AND(Q42&lt;&gt;"",OR(Q42=M42,AND(N42&lt;&gt;"",ISNUMBER(FIND("|"&amp;Q42&amp;"|","|"&amp;N42&amp;"|"))))),1,0))</f>
        <v/>
      </c>
      <c r="V42" s="46">
        <f>IF($A42="","",IF(P42=O42,1,0))</f>
        <v/>
      </c>
      <c r="W42" s="46">
        <f>IF($A42="","",IF(Q42=O42,1,0))</f>
        <v/>
      </c>
      <c r="X42" s="46">
        <f>IF(OR($A42="",$H42=""),"",IF(AND($H42=1,T42=1),"TA",IF(AND($H42=0,T42=1),"FA",IF($H42=1,"FR","TR"))))</f>
        <v/>
      </c>
      <c r="Y42" s="46">
        <f>IF(OR($A42="",$H42=""),"",IF(AND($H42=1,U42=1),"TA",IF(AND($H42=0,U42=1),"FA",IF($H42=1,"FR","TR"))))</f>
        <v/>
      </c>
    </row>
    <row r="43" ht="15" customHeight="1" s="28">
      <c r="A43" s="54" t="n"/>
      <c r="B43" s="54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4" t="n"/>
      <c r="M43" s="46">
        <f>IF($A43="","",LOWER(TRIM(SUBSTITUTE(SUBSTITUTE(SUBSTITUTE(SUBSTITUTE(SUBSTITUTE(SUBSTITUTE(SUBSTITUTE(SUBSTITUTE(SUBSTITUTE(SUBSTITUTE(SUBSTITUTE(C43,".",""),",",""),";",""),":",""),"!",""),"?",""),"""",""),"'",""),"’",""),"“",""),"”",""))))</f>
        <v/>
      </c>
      <c r="N43" s="46">
        <f>IF($A43="","",SUBSTITUTE(SUBSTITUTE(LOWER(TRIM(SUBSTITUTE(SUBSTITUTE(SUBSTITUTE(SUBSTITUTE(SUBSTITUTE(SUBSTITUTE(SUBSTITUTE(SUBSTITUTE(SUBSTITUTE(SUBSTITUTE(SUBSTITUTE(D43,".",""),",",""),";",""),":",""),"!",""),"?",""),"""",""),"'",""),"’",""),"“",""),"”","")))," |","|"),"| ","|"))</f>
        <v/>
      </c>
      <c r="O43" s="46">
        <f>IF($A43="","",LOWER(TRIM(SUBSTITUTE(SUBSTITUTE(SUBSTITUTE(SUBSTITUTE(SUBSTITUTE(SUBSTITUTE(SUBSTITUTE(SUBSTITUTE(SUBSTITUTE(SUBSTITUTE(SUBSTITUTE(E43,".",""),",",""),";",""),":",""),"!",""),"?",""),"""",""),"'",""),"’",""),"“",""),"”",""))))</f>
        <v/>
      </c>
      <c r="P43" s="46">
        <f>IF($A43="","",LOWER(TRIM(SUBSTITUTE(SUBSTITUTE(SUBSTITUTE(SUBSTITUTE(SUBSTITUTE(SUBSTITUTE(SUBSTITUTE(SUBSTITUTE(SUBSTITUTE(SUBSTITUTE(SUBSTITUTE(F43,".",""),",",""),";",""),":",""),"!",""),"?",""),"""",""),"'",""),"’",""),"“",""),"”",""))))</f>
        <v/>
      </c>
      <c r="Q43" s="46">
        <f>IF($A43="","",LOWER(TRIM(SUBSTITUTE(SUBSTITUTE(SUBSTITUTE(SUBSTITUTE(SUBSTITUTE(SUBSTITUTE(SUBSTITUTE(SUBSTITUTE(SUBSTITUTE(SUBSTITUTE(SUBSTITUTE(G43,".",""),",",""),";",""),":",""),"!",""),"?",""),"""",""),"'",""),"’",""),"“",""),"”",""))))</f>
        <v/>
      </c>
      <c r="R43" s="46">
        <f>IF($A43="","",LEN(O43))</f>
        <v/>
      </c>
      <c r="S43" s="46">
        <f>IF($A43="","",IF(O43="",0,LEN(O43)-LEN(SUBSTITUTE(O43," ",""))+1))</f>
        <v/>
      </c>
      <c r="T43" s="46">
        <f>IF($A43="","",IF(AND(O43&lt;&gt;"",OR(O43=M43,AND(N43&lt;&gt;"",ISNUMBER(FIND("|"&amp;O43&amp;"|","|"&amp;N43&amp;"|"))))),1,0))</f>
        <v/>
      </c>
      <c r="U43" s="46">
        <f>IF($A43="","",IF(AND(Q43&lt;&gt;"",OR(Q43=M43,AND(N43&lt;&gt;"",ISNUMBER(FIND("|"&amp;Q43&amp;"|","|"&amp;N43&amp;"|"))))),1,0))</f>
        <v/>
      </c>
      <c r="V43" s="46">
        <f>IF($A43="","",IF(P43=O43,1,0))</f>
        <v/>
      </c>
      <c r="W43" s="46">
        <f>IF($A43="","",IF(Q43=O43,1,0))</f>
        <v/>
      </c>
      <c r="X43" s="46">
        <f>IF(OR($A43="",$H43=""),"",IF(AND($H43=1,T43=1),"TA",IF(AND($H43=0,T43=1),"FA",IF($H43=1,"FR","TR"))))</f>
        <v/>
      </c>
      <c r="Y43" s="46">
        <f>IF(OR($A43="",$H43=""),"",IF(AND($H43=1,U43=1),"TA",IF(AND($H43=0,U43=1),"FA",IF($H43=1,"FR","TR"))))</f>
        <v/>
      </c>
    </row>
    <row r="44" ht="15" customHeight="1" s="28">
      <c r="A44" s="54" t="n"/>
      <c r="B44" s="54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46">
        <f>IF($A44="","",LOWER(TRIM(SUBSTITUTE(SUBSTITUTE(SUBSTITUTE(SUBSTITUTE(SUBSTITUTE(SUBSTITUTE(SUBSTITUTE(SUBSTITUTE(SUBSTITUTE(SUBSTITUTE(SUBSTITUTE(C44,".",""),",",""),";",""),":",""),"!",""),"?",""),"""",""),"'",""),"’",""),"“",""),"”",""))))</f>
        <v/>
      </c>
      <c r="N44" s="46">
        <f>IF($A44="","",SUBSTITUTE(SUBSTITUTE(LOWER(TRIM(SUBSTITUTE(SUBSTITUTE(SUBSTITUTE(SUBSTITUTE(SUBSTITUTE(SUBSTITUTE(SUBSTITUTE(SUBSTITUTE(SUBSTITUTE(SUBSTITUTE(SUBSTITUTE(D44,".",""),",",""),";",""),":",""),"!",""),"?",""),"""",""),"'",""),"’",""),"“",""),"”","")))," |","|"),"| ","|"))</f>
        <v/>
      </c>
      <c r="O44" s="46">
        <f>IF($A44="","",LOWER(TRIM(SUBSTITUTE(SUBSTITUTE(SUBSTITUTE(SUBSTITUTE(SUBSTITUTE(SUBSTITUTE(SUBSTITUTE(SUBSTITUTE(SUBSTITUTE(SUBSTITUTE(SUBSTITUTE(E44,".",""),",",""),";",""),":",""),"!",""),"?",""),"""",""),"'",""),"’",""),"“",""),"”",""))))</f>
        <v/>
      </c>
      <c r="P44" s="46">
        <f>IF($A44="","",LOWER(TRIM(SUBSTITUTE(SUBSTITUTE(SUBSTITUTE(SUBSTITUTE(SUBSTITUTE(SUBSTITUTE(SUBSTITUTE(SUBSTITUTE(SUBSTITUTE(SUBSTITUTE(SUBSTITUTE(F44,".",""),",",""),";",""),":",""),"!",""),"?",""),"""",""),"'",""),"’",""),"“",""),"”",""))))</f>
        <v/>
      </c>
      <c r="Q44" s="46">
        <f>IF($A44="","",LOWER(TRIM(SUBSTITUTE(SUBSTITUTE(SUBSTITUTE(SUBSTITUTE(SUBSTITUTE(SUBSTITUTE(SUBSTITUTE(SUBSTITUTE(SUBSTITUTE(SUBSTITUTE(SUBSTITUTE(G44,".",""),",",""),";",""),":",""),"!",""),"?",""),"""",""),"'",""),"’",""),"“",""),"”",""))))</f>
        <v/>
      </c>
      <c r="R44" s="46">
        <f>IF($A44="","",LEN(O44))</f>
        <v/>
      </c>
      <c r="S44" s="46">
        <f>IF($A44="","",IF(O44="",0,LEN(O44)-LEN(SUBSTITUTE(O44," ",""))+1))</f>
        <v/>
      </c>
      <c r="T44" s="46">
        <f>IF($A44="","",IF(AND(O44&lt;&gt;"",OR(O44=M44,AND(N44&lt;&gt;"",ISNUMBER(FIND("|"&amp;O44&amp;"|","|"&amp;N44&amp;"|"))))),1,0))</f>
        <v/>
      </c>
      <c r="U44" s="46">
        <f>IF($A44="","",IF(AND(Q44&lt;&gt;"",OR(Q44=M44,AND(N44&lt;&gt;"",ISNUMBER(FIND("|"&amp;Q44&amp;"|","|"&amp;N44&amp;"|"))))),1,0))</f>
        <v/>
      </c>
      <c r="V44" s="46">
        <f>IF($A44="","",IF(P44=O44,1,0))</f>
        <v/>
      </c>
      <c r="W44" s="46">
        <f>IF($A44="","",IF(Q44=O44,1,0))</f>
        <v/>
      </c>
      <c r="X44" s="46">
        <f>IF(OR($A44="",$H44=""),"",IF(AND($H44=1,T44=1),"TA",IF(AND($H44=0,T44=1),"FA",IF($H44=1,"FR","TR"))))</f>
        <v/>
      </c>
      <c r="Y44" s="46">
        <f>IF(OR($A44="",$H44=""),"",IF(AND($H44=1,U44=1),"TA",IF(AND($H44=0,U44=1),"FA",IF($H44=1,"FR","TR"))))</f>
        <v/>
      </c>
    </row>
    <row r="45" ht="15" customHeight="1" s="28">
      <c r="A45" s="54" t="n"/>
      <c r="B45" s="54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46">
        <f>IF($A45="","",LOWER(TRIM(SUBSTITUTE(SUBSTITUTE(SUBSTITUTE(SUBSTITUTE(SUBSTITUTE(SUBSTITUTE(SUBSTITUTE(SUBSTITUTE(SUBSTITUTE(SUBSTITUTE(SUBSTITUTE(C45,".",""),",",""),";",""),":",""),"!",""),"?",""),"""",""),"'",""),"’",""),"“",""),"”",""))))</f>
        <v/>
      </c>
      <c r="N45" s="46">
        <f>IF($A45="","",SUBSTITUTE(SUBSTITUTE(LOWER(TRIM(SUBSTITUTE(SUBSTITUTE(SUBSTITUTE(SUBSTITUTE(SUBSTITUTE(SUBSTITUTE(SUBSTITUTE(SUBSTITUTE(SUBSTITUTE(SUBSTITUTE(SUBSTITUTE(D45,".",""),",",""),";",""),":",""),"!",""),"?",""),"""",""),"'",""),"’",""),"“",""),"”","")))," |","|"),"| ","|"))</f>
        <v/>
      </c>
      <c r="O45" s="46">
        <f>IF($A45="","",LOWER(TRIM(SUBSTITUTE(SUBSTITUTE(SUBSTITUTE(SUBSTITUTE(SUBSTITUTE(SUBSTITUTE(SUBSTITUTE(SUBSTITUTE(SUBSTITUTE(SUBSTITUTE(SUBSTITUTE(E45,".",""),",",""),";",""),":",""),"!",""),"?",""),"""",""),"'",""),"’",""),"“",""),"”",""))))</f>
        <v/>
      </c>
      <c r="P45" s="46">
        <f>IF($A45="","",LOWER(TRIM(SUBSTITUTE(SUBSTITUTE(SUBSTITUTE(SUBSTITUTE(SUBSTITUTE(SUBSTITUTE(SUBSTITUTE(SUBSTITUTE(SUBSTITUTE(SUBSTITUTE(SUBSTITUTE(F45,".",""),",",""),";",""),":",""),"!",""),"?",""),"""",""),"'",""),"’",""),"“",""),"”",""))))</f>
        <v/>
      </c>
      <c r="Q45" s="46">
        <f>IF($A45="","",LOWER(TRIM(SUBSTITUTE(SUBSTITUTE(SUBSTITUTE(SUBSTITUTE(SUBSTITUTE(SUBSTITUTE(SUBSTITUTE(SUBSTITUTE(SUBSTITUTE(SUBSTITUTE(SUBSTITUTE(G45,".",""),",",""),";",""),":",""),"!",""),"?",""),"""",""),"'",""),"’",""),"“",""),"”",""))))</f>
        <v/>
      </c>
      <c r="R45" s="46">
        <f>IF($A45="","",LEN(O45))</f>
        <v/>
      </c>
      <c r="S45" s="46">
        <f>IF($A45="","",IF(O45="",0,LEN(O45)-LEN(SUBSTITUTE(O45," ",""))+1))</f>
        <v/>
      </c>
      <c r="T45" s="46">
        <f>IF($A45="","",IF(AND(O45&lt;&gt;"",OR(O45=M45,AND(N45&lt;&gt;"",ISNUMBER(FIND("|"&amp;O45&amp;"|","|"&amp;N45&amp;"|"))))),1,0))</f>
        <v/>
      </c>
      <c r="U45" s="46">
        <f>IF($A45="","",IF(AND(Q45&lt;&gt;"",OR(Q45=M45,AND(N45&lt;&gt;"",ISNUMBER(FIND("|"&amp;Q45&amp;"|","|"&amp;N45&amp;"|"))))),1,0))</f>
        <v/>
      </c>
      <c r="V45" s="46">
        <f>IF($A45="","",IF(P45=O45,1,0))</f>
        <v/>
      </c>
      <c r="W45" s="46">
        <f>IF($A45="","",IF(Q45=O45,1,0))</f>
        <v/>
      </c>
      <c r="X45" s="46">
        <f>IF(OR($A45="",$H45=""),"",IF(AND($H45=1,T45=1),"TA",IF(AND($H45=0,T45=1),"FA",IF($H45=1,"FR","TR"))))</f>
        <v/>
      </c>
      <c r="Y45" s="46">
        <f>IF(OR($A45="",$H45=""),"",IF(AND($H45=1,U45=1),"TA",IF(AND($H45=0,U45=1),"FA",IF($H45=1,"FR","TR"))))</f>
        <v/>
      </c>
    </row>
    <row r="46" ht="15" customHeight="1" s="28">
      <c r="A46" s="54" t="n"/>
      <c r="B46" s="54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4" t="n"/>
      <c r="M46" s="46">
        <f>IF($A46="","",LOWER(TRIM(SUBSTITUTE(SUBSTITUTE(SUBSTITUTE(SUBSTITUTE(SUBSTITUTE(SUBSTITUTE(SUBSTITUTE(SUBSTITUTE(SUBSTITUTE(SUBSTITUTE(SUBSTITUTE(C46,".",""),",",""),";",""),":",""),"!",""),"?",""),"""",""),"'",""),"’",""),"“",""),"”",""))))</f>
        <v/>
      </c>
      <c r="N46" s="46">
        <f>IF($A46="","",SUBSTITUTE(SUBSTITUTE(LOWER(TRIM(SUBSTITUTE(SUBSTITUTE(SUBSTITUTE(SUBSTITUTE(SUBSTITUTE(SUBSTITUTE(SUBSTITUTE(SUBSTITUTE(SUBSTITUTE(SUBSTITUTE(SUBSTITUTE(D46,".",""),",",""),";",""),":",""),"!",""),"?",""),"""",""),"'",""),"’",""),"“",""),"”","")))," |","|"),"| ","|"))</f>
        <v/>
      </c>
      <c r="O46" s="46">
        <f>IF($A46="","",LOWER(TRIM(SUBSTITUTE(SUBSTITUTE(SUBSTITUTE(SUBSTITUTE(SUBSTITUTE(SUBSTITUTE(SUBSTITUTE(SUBSTITUTE(SUBSTITUTE(SUBSTITUTE(SUBSTITUTE(E46,".",""),",",""),";",""),":",""),"!",""),"?",""),"""",""),"'",""),"’",""),"“",""),"”",""))))</f>
        <v/>
      </c>
      <c r="P46" s="46">
        <f>IF($A46="","",LOWER(TRIM(SUBSTITUTE(SUBSTITUTE(SUBSTITUTE(SUBSTITUTE(SUBSTITUTE(SUBSTITUTE(SUBSTITUTE(SUBSTITUTE(SUBSTITUTE(SUBSTITUTE(SUBSTITUTE(F46,".",""),",",""),";",""),":",""),"!",""),"?",""),"""",""),"'",""),"’",""),"“",""),"”",""))))</f>
        <v/>
      </c>
      <c r="Q46" s="46">
        <f>IF($A46="","",LOWER(TRIM(SUBSTITUTE(SUBSTITUTE(SUBSTITUTE(SUBSTITUTE(SUBSTITUTE(SUBSTITUTE(SUBSTITUTE(SUBSTITUTE(SUBSTITUTE(SUBSTITUTE(SUBSTITUTE(G46,".",""),",",""),";",""),":",""),"!",""),"?",""),"""",""),"'",""),"’",""),"“",""),"”",""))))</f>
        <v/>
      </c>
      <c r="R46" s="46">
        <f>IF($A46="","",LEN(O46))</f>
        <v/>
      </c>
      <c r="S46" s="46">
        <f>IF($A46="","",IF(O46="",0,LEN(O46)-LEN(SUBSTITUTE(O46," ",""))+1))</f>
        <v/>
      </c>
      <c r="T46" s="46">
        <f>IF($A46="","",IF(AND(O46&lt;&gt;"",OR(O46=M46,AND(N46&lt;&gt;"",ISNUMBER(FIND("|"&amp;O46&amp;"|","|"&amp;N46&amp;"|"))))),1,0))</f>
        <v/>
      </c>
      <c r="U46" s="46">
        <f>IF($A46="","",IF(AND(Q46&lt;&gt;"",OR(Q46=M46,AND(N46&lt;&gt;"",ISNUMBER(FIND("|"&amp;Q46&amp;"|","|"&amp;N46&amp;"|"))))),1,0))</f>
        <v/>
      </c>
      <c r="V46" s="46">
        <f>IF($A46="","",IF(P46=O46,1,0))</f>
        <v/>
      </c>
      <c r="W46" s="46">
        <f>IF($A46="","",IF(Q46=O46,1,0))</f>
        <v/>
      </c>
      <c r="X46" s="46">
        <f>IF(OR($A46="",$H46=""),"",IF(AND($H46=1,T46=1),"TA",IF(AND($H46=0,T46=1),"FA",IF($H46=1,"FR","TR"))))</f>
        <v/>
      </c>
      <c r="Y46" s="46">
        <f>IF(OR($A46="",$H46=""),"",IF(AND($H46=1,U46=1),"TA",IF(AND($H46=0,U46=1),"FA",IF($H46=1,"FR","TR"))))</f>
        <v/>
      </c>
    </row>
    <row r="47" ht="15" customHeight="1" s="28">
      <c r="A47" s="54" t="n"/>
      <c r="B47" s="54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4" t="n"/>
      <c r="M47" s="46">
        <f>IF($A47="","",LOWER(TRIM(SUBSTITUTE(SUBSTITUTE(SUBSTITUTE(SUBSTITUTE(SUBSTITUTE(SUBSTITUTE(SUBSTITUTE(SUBSTITUTE(SUBSTITUTE(SUBSTITUTE(SUBSTITUTE(C47,".",""),",",""),";",""),":",""),"!",""),"?",""),"""",""),"'",""),"’",""),"“",""),"”",""))))</f>
        <v/>
      </c>
      <c r="N47" s="46">
        <f>IF($A47="","",SUBSTITUTE(SUBSTITUTE(LOWER(TRIM(SUBSTITUTE(SUBSTITUTE(SUBSTITUTE(SUBSTITUTE(SUBSTITUTE(SUBSTITUTE(SUBSTITUTE(SUBSTITUTE(SUBSTITUTE(SUBSTITUTE(SUBSTITUTE(D47,".",""),",",""),";",""),":",""),"!",""),"?",""),"""",""),"'",""),"’",""),"“",""),"”","")))," |","|"),"| ","|"))</f>
        <v/>
      </c>
      <c r="O47" s="46">
        <f>IF($A47="","",LOWER(TRIM(SUBSTITUTE(SUBSTITUTE(SUBSTITUTE(SUBSTITUTE(SUBSTITUTE(SUBSTITUTE(SUBSTITUTE(SUBSTITUTE(SUBSTITUTE(SUBSTITUTE(SUBSTITUTE(E47,".",""),",",""),";",""),":",""),"!",""),"?",""),"""",""),"'",""),"’",""),"“",""),"”",""))))</f>
        <v/>
      </c>
      <c r="P47" s="46">
        <f>IF($A47="","",LOWER(TRIM(SUBSTITUTE(SUBSTITUTE(SUBSTITUTE(SUBSTITUTE(SUBSTITUTE(SUBSTITUTE(SUBSTITUTE(SUBSTITUTE(SUBSTITUTE(SUBSTITUTE(SUBSTITUTE(F47,".",""),",",""),";",""),":",""),"!",""),"?",""),"""",""),"'",""),"’",""),"“",""),"”",""))))</f>
        <v/>
      </c>
      <c r="Q47" s="46">
        <f>IF($A47="","",LOWER(TRIM(SUBSTITUTE(SUBSTITUTE(SUBSTITUTE(SUBSTITUTE(SUBSTITUTE(SUBSTITUTE(SUBSTITUTE(SUBSTITUTE(SUBSTITUTE(SUBSTITUTE(SUBSTITUTE(G47,".",""),",",""),";",""),":",""),"!",""),"?",""),"""",""),"'",""),"’",""),"“",""),"”",""))))</f>
        <v/>
      </c>
      <c r="R47" s="46">
        <f>IF($A47="","",LEN(O47))</f>
        <v/>
      </c>
      <c r="S47" s="46">
        <f>IF($A47="","",IF(O47="",0,LEN(O47)-LEN(SUBSTITUTE(O47," ",""))+1))</f>
        <v/>
      </c>
      <c r="T47" s="46">
        <f>IF($A47="","",IF(AND(O47&lt;&gt;"",OR(O47=M47,AND(N47&lt;&gt;"",ISNUMBER(FIND("|"&amp;O47&amp;"|","|"&amp;N47&amp;"|"))))),1,0))</f>
        <v/>
      </c>
      <c r="U47" s="46">
        <f>IF($A47="","",IF(AND(Q47&lt;&gt;"",OR(Q47=M47,AND(N47&lt;&gt;"",ISNUMBER(FIND("|"&amp;Q47&amp;"|","|"&amp;N47&amp;"|"))))),1,0))</f>
        <v/>
      </c>
      <c r="V47" s="46">
        <f>IF($A47="","",IF(P47=O47,1,0))</f>
        <v/>
      </c>
      <c r="W47" s="46">
        <f>IF($A47="","",IF(Q47=O47,1,0))</f>
        <v/>
      </c>
      <c r="X47" s="46">
        <f>IF(OR($A47="",$H47=""),"",IF(AND($H47=1,T47=1),"TA",IF(AND($H47=0,T47=1),"FA",IF($H47=1,"FR","TR"))))</f>
        <v/>
      </c>
      <c r="Y47" s="46">
        <f>IF(OR($A47="",$H47=""),"",IF(AND($H47=1,U47=1),"TA",IF(AND($H47=0,U47=1),"FA",IF($H47=1,"FR","TR"))))</f>
        <v/>
      </c>
    </row>
    <row r="48" ht="15" customHeight="1" s="28">
      <c r="A48" s="54" t="n"/>
      <c r="B48" s="54" t="n"/>
      <c r="C48" s="54" t="n"/>
      <c r="D48" s="54" t="n"/>
      <c r="E48" s="54" t="n"/>
      <c r="F48" s="54" t="n"/>
      <c r="G48" s="54" t="n"/>
      <c r="H48" s="54" t="n"/>
      <c r="I48" s="54" t="n"/>
      <c r="J48" s="54" t="n"/>
      <c r="K48" s="54" t="n"/>
      <c r="L48" s="54" t="n"/>
      <c r="M48" s="46">
        <f>IF($A48="","",LOWER(TRIM(SUBSTITUTE(SUBSTITUTE(SUBSTITUTE(SUBSTITUTE(SUBSTITUTE(SUBSTITUTE(SUBSTITUTE(SUBSTITUTE(SUBSTITUTE(SUBSTITUTE(SUBSTITUTE(C48,".",""),",",""),";",""),":",""),"!",""),"?",""),"""",""),"'",""),"’",""),"“",""),"”",""))))</f>
        <v/>
      </c>
      <c r="N48" s="46">
        <f>IF($A48="","",SUBSTITUTE(SUBSTITUTE(LOWER(TRIM(SUBSTITUTE(SUBSTITUTE(SUBSTITUTE(SUBSTITUTE(SUBSTITUTE(SUBSTITUTE(SUBSTITUTE(SUBSTITUTE(SUBSTITUTE(SUBSTITUTE(SUBSTITUTE(D48,".",""),",",""),";",""),":",""),"!",""),"?",""),"""",""),"'",""),"’",""),"“",""),"”","")))," |","|"),"| ","|"))</f>
        <v/>
      </c>
      <c r="O48" s="46">
        <f>IF($A48="","",LOWER(TRIM(SUBSTITUTE(SUBSTITUTE(SUBSTITUTE(SUBSTITUTE(SUBSTITUTE(SUBSTITUTE(SUBSTITUTE(SUBSTITUTE(SUBSTITUTE(SUBSTITUTE(SUBSTITUTE(E48,".",""),",",""),";",""),":",""),"!",""),"?",""),"""",""),"'",""),"’",""),"“",""),"”",""))))</f>
        <v/>
      </c>
      <c r="P48" s="46">
        <f>IF($A48="","",LOWER(TRIM(SUBSTITUTE(SUBSTITUTE(SUBSTITUTE(SUBSTITUTE(SUBSTITUTE(SUBSTITUTE(SUBSTITUTE(SUBSTITUTE(SUBSTITUTE(SUBSTITUTE(SUBSTITUTE(F48,".",""),",",""),";",""),":",""),"!",""),"?",""),"""",""),"'",""),"’",""),"“",""),"”",""))))</f>
        <v/>
      </c>
      <c r="Q48" s="46">
        <f>IF($A48="","",LOWER(TRIM(SUBSTITUTE(SUBSTITUTE(SUBSTITUTE(SUBSTITUTE(SUBSTITUTE(SUBSTITUTE(SUBSTITUTE(SUBSTITUTE(SUBSTITUTE(SUBSTITUTE(SUBSTITUTE(G48,".",""),",",""),";",""),":",""),"!",""),"?",""),"""",""),"'",""),"’",""),"“",""),"”",""))))</f>
        <v/>
      </c>
      <c r="R48" s="46">
        <f>IF($A48="","",LEN(O48))</f>
        <v/>
      </c>
      <c r="S48" s="46">
        <f>IF($A48="","",IF(O48="",0,LEN(O48)-LEN(SUBSTITUTE(O48," ",""))+1))</f>
        <v/>
      </c>
      <c r="T48" s="46">
        <f>IF($A48="","",IF(AND(O48&lt;&gt;"",OR(O48=M48,AND(N48&lt;&gt;"",ISNUMBER(FIND("|"&amp;O48&amp;"|","|"&amp;N48&amp;"|"))))),1,0))</f>
        <v/>
      </c>
      <c r="U48" s="46">
        <f>IF($A48="","",IF(AND(Q48&lt;&gt;"",OR(Q48=M48,AND(N48&lt;&gt;"",ISNUMBER(FIND("|"&amp;Q48&amp;"|","|"&amp;N48&amp;"|"))))),1,0))</f>
        <v/>
      </c>
      <c r="V48" s="46">
        <f>IF($A48="","",IF(P48=O48,1,0))</f>
        <v/>
      </c>
      <c r="W48" s="46">
        <f>IF($A48="","",IF(Q48=O48,1,0))</f>
        <v/>
      </c>
      <c r="X48" s="46">
        <f>IF(OR($A48="",$H48=""),"",IF(AND($H48=1,T48=1),"TA",IF(AND($H48=0,T48=1),"FA",IF($H48=1,"FR","TR"))))</f>
        <v/>
      </c>
      <c r="Y48" s="46">
        <f>IF(OR($A48="",$H48=""),"",IF(AND($H48=1,U48=1),"TA",IF(AND($H48=0,U48=1),"FA",IF($H48=1,"FR","TR"))))</f>
        <v/>
      </c>
    </row>
    <row r="49" ht="15" customHeight="1" s="28">
      <c r="A49" s="54" t="n"/>
      <c r="B49" s="54" t="n"/>
      <c r="C49" s="54" t="n"/>
      <c r="D49" s="54" t="n"/>
      <c r="E49" s="54" t="n"/>
      <c r="F49" s="54" t="n"/>
      <c r="G49" s="54" t="n"/>
      <c r="H49" s="54" t="n"/>
      <c r="I49" s="54" t="n"/>
      <c r="J49" s="54" t="n"/>
      <c r="K49" s="54" t="n"/>
      <c r="L49" s="54" t="n"/>
      <c r="M49" s="46">
        <f>IF($A49="","",LOWER(TRIM(SUBSTITUTE(SUBSTITUTE(SUBSTITUTE(SUBSTITUTE(SUBSTITUTE(SUBSTITUTE(SUBSTITUTE(SUBSTITUTE(SUBSTITUTE(SUBSTITUTE(SUBSTITUTE(C49,".",""),",",""),";",""),":",""),"!",""),"?",""),"""",""),"'",""),"’",""),"“",""),"”",""))))</f>
        <v/>
      </c>
      <c r="N49" s="46">
        <f>IF($A49="","",SUBSTITUTE(SUBSTITUTE(LOWER(TRIM(SUBSTITUTE(SUBSTITUTE(SUBSTITUTE(SUBSTITUTE(SUBSTITUTE(SUBSTITUTE(SUBSTITUTE(SUBSTITUTE(SUBSTITUTE(SUBSTITUTE(SUBSTITUTE(D49,".",""),",",""),";",""),":",""),"!",""),"?",""),"""",""),"'",""),"’",""),"“",""),"”","")))," |","|"),"| ","|"))</f>
        <v/>
      </c>
      <c r="O49" s="46">
        <f>IF($A49="","",LOWER(TRIM(SUBSTITUTE(SUBSTITUTE(SUBSTITUTE(SUBSTITUTE(SUBSTITUTE(SUBSTITUTE(SUBSTITUTE(SUBSTITUTE(SUBSTITUTE(SUBSTITUTE(SUBSTITUTE(E49,".",""),",",""),";",""),":",""),"!",""),"?",""),"""",""),"'",""),"’",""),"“",""),"”",""))))</f>
        <v/>
      </c>
      <c r="P49" s="46">
        <f>IF($A49="","",LOWER(TRIM(SUBSTITUTE(SUBSTITUTE(SUBSTITUTE(SUBSTITUTE(SUBSTITUTE(SUBSTITUTE(SUBSTITUTE(SUBSTITUTE(SUBSTITUTE(SUBSTITUTE(SUBSTITUTE(F49,".",""),",",""),";",""),":",""),"!",""),"?",""),"""",""),"'",""),"’",""),"“",""),"”",""))))</f>
        <v/>
      </c>
      <c r="Q49" s="46">
        <f>IF($A49="","",LOWER(TRIM(SUBSTITUTE(SUBSTITUTE(SUBSTITUTE(SUBSTITUTE(SUBSTITUTE(SUBSTITUTE(SUBSTITUTE(SUBSTITUTE(SUBSTITUTE(SUBSTITUTE(SUBSTITUTE(G49,".",""),",",""),";",""),":",""),"!",""),"?",""),"""",""),"'",""),"’",""),"“",""),"”",""))))</f>
        <v/>
      </c>
      <c r="R49" s="46">
        <f>IF($A49="","",LEN(O49))</f>
        <v/>
      </c>
      <c r="S49" s="46">
        <f>IF($A49="","",IF(O49="",0,LEN(O49)-LEN(SUBSTITUTE(O49," ",""))+1))</f>
        <v/>
      </c>
      <c r="T49" s="46">
        <f>IF($A49="","",IF(AND(O49&lt;&gt;"",OR(O49=M49,AND(N49&lt;&gt;"",ISNUMBER(FIND("|"&amp;O49&amp;"|","|"&amp;N49&amp;"|"))))),1,0))</f>
        <v/>
      </c>
      <c r="U49" s="46">
        <f>IF($A49="","",IF(AND(Q49&lt;&gt;"",OR(Q49=M49,AND(N49&lt;&gt;"",ISNUMBER(FIND("|"&amp;Q49&amp;"|","|"&amp;N49&amp;"|"))))),1,0))</f>
        <v/>
      </c>
      <c r="V49" s="46">
        <f>IF($A49="","",IF(P49=O49,1,0))</f>
        <v/>
      </c>
      <c r="W49" s="46">
        <f>IF($A49="","",IF(Q49=O49,1,0))</f>
        <v/>
      </c>
      <c r="X49" s="46">
        <f>IF(OR($A49="",$H49=""),"",IF(AND($H49=1,T49=1),"TA",IF(AND($H49=0,T49=1),"FA",IF($H49=1,"FR","TR"))))</f>
        <v/>
      </c>
      <c r="Y49" s="46">
        <f>IF(OR($A49="",$H49=""),"",IF(AND($H49=1,U49=1),"TA",IF(AND($H49=0,U49=1),"FA",IF($H49=1,"FR","TR"))))</f>
        <v/>
      </c>
    </row>
    <row r="50" ht="15" customHeight="1" s="28">
      <c r="A50" s="54" t="n"/>
      <c r="B50" s="54" t="n"/>
      <c r="C50" s="54" t="n"/>
      <c r="D50" s="54" t="n"/>
      <c r="E50" s="54" t="n"/>
      <c r="F50" s="54" t="n"/>
      <c r="G50" s="54" t="n"/>
      <c r="H50" s="54" t="n"/>
      <c r="I50" s="54" t="n"/>
      <c r="J50" s="54" t="n"/>
      <c r="K50" s="54" t="n"/>
      <c r="L50" s="54" t="n"/>
      <c r="M50" s="46">
        <f>IF($A50="","",LOWER(TRIM(SUBSTITUTE(SUBSTITUTE(SUBSTITUTE(SUBSTITUTE(SUBSTITUTE(SUBSTITUTE(SUBSTITUTE(SUBSTITUTE(SUBSTITUTE(SUBSTITUTE(SUBSTITUTE(C50,".",""),",",""),";",""),":",""),"!",""),"?",""),"""",""),"'",""),"’",""),"“",""),"”",""))))</f>
        <v/>
      </c>
      <c r="N50" s="46">
        <f>IF($A50="","",SUBSTITUTE(SUBSTITUTE(LOWER(TRIM(SUBSTITUTE(SUBSTITUTE(SUBSTITUTE(SUBSTITUTE(SUBSTITUTE(SUBSTITUTE(SUBSTITUTE(SUBSTITUTE(SUBSTITUTE(SUBSTITUTE(SUBSTITUTE(D50,".",""),",",""),";",""),":",""),"!",""),"?",""),"""",""),"'",""),"’",""),"“",""),"”","")))," |","|"),"| ","|"))</f>
        <v/>
      </c>
      <c r="O50" s="46">
        <f>IF($A50="","",LOWER(TRIM(SUBSTITUTE(SUBSTITUTE(SUBSTITUTE(SUBSTITUTE(SUBSTITUTE(SUBSTITUTE(SUBSTITUTE(SUBSTITUTE(SUBSTITUTE(SUBSTITUTE(SUBSTITUTE(E50,".",""),",",""),";",""),":",""),"!",""),"?",""),"""",""),"'",""),"’",""),"“",""),"”",""))))</f>
        <v/>
      </c>
      <c r="P50" s="46">
        <f>IF($A50="","",LOWER(TRIM(SUBSTITUTE(SUBSTITUTE(SUBSTITUTE(SUBSTITUTE(SUBSTITUTE(SUBSTITUTE(SUBSTITUTE(SUBSTITUTE(SUBSTITUTE(SUBSTITUTE(SUBSTITUTE(F50,".",""),",",""),";",""),":",""),"!",""),"?",""),"""",""),"'",""),"’",""),"“",""),"”",""))))</f>
        <v/>
      </c>
      <c r="Q50" s="46">
        <f>IF($A50="","",LOWER(TRIM(SUBSTITUTE(SUBSTITUTE(SUBSTITUTE(SUBSTITUTE(SUBSTITUTE(SUBSTITUTE(SUBSTITUTE(SUBSTITUTE(SUBSTITUTE(SUBSTITUTE(SUBSTITUTE(G50,".",""),",",""),";",""),":",""),"!",""),"?",""),"""",""),"'",""),"’",""),"“",""),"”",""))))</f>
        <v/>
      </c>
      <c r="R50" s="46">
        <f>IF($A50="","",LEN(O50))</f>
        <v/>
      </c>
      <c r="S50" s="46">
        <f>IF($A50="","",IF(O50="",0,LEN(O50)-LEN(SUBSTITUTE(O50," ",""))+1))</f>
        <v/>
      </c>
      <c r="T50" s="46">
        <f>IF($A50="","",IF(AND(O50&lt;&gt;"",OR(O50=M50,AND(N50&lt;&gt;"",ISNUMBER(FIND("|"&amp;O50&amp;"|","|"&amp;N50&amp;"|"))))),1,0))</f>
        <v/>
      </c>
      <c r="U50" s="46">
        <f>IF($A50="","",IF(AND(Q50&lt;&gt;"",OR(Q50=M50,AND(N50&lt;&gt;"",ISNUMBER(FIND("|"&amp;Q50&amp;"|","|"&amp;N50&amp;"|"))))),1,0))</f>
        <v/>
      </c>
      <c r="V50" s="46">
        <f>IF($A50="","",IF(P50=O50,1,0))</f>
        <v/>
      </c>
      <c r="W50" s="46">
        <f>IF($A50="","",IF(Q50=O50,1,0))</f>
        <v/>
      </c>
      <c r="X50" s="46">
        <f>IF(OR($A50="",$H50=""),"",IF(AND($H50=1,T50=1),"TA",IF(AND($H50=0,T50=1),"FA",IF($H50=1,"FR","TR"))))</f>
        <v/>
      </c>
      <c r="Y50" s="46">
        <f>IF(OR($A50="",$H50=""),"",IF(AND($H50=1,U50=1),"TA",IF(AND($H50=0,U50=1),"FA",IF($H50=1,"FR","TR"))))</f>
        <v/>
      </c>
    </row>
    <row r="51" ht="15" customHeight="1" s="28">
      <c r="A51" s="54" t="n"/>
      <c r="B51" s="54" t="n"/>
      <c r="C51" s="54" t="n"/>
      <c r="D51" s="54" t="n"/>
      <c r="E51" s="54" t="n"/>
      <c r="F51" s="54" t="n"/>
      <c r="G51" s="54" t="n"/>
      <c r="H51" s="54" t="n"/>
      <c r="I51" s="54" t="n"/>
      <c r="J51" s="54" t="n"/>
      <c r="K51" s="54" t="n"/>
      <c r="L51" s="54" t="n"/>
      <c r="M51" s="46">
        <f>IF($A51="","",LOWER(TRIM(SUBSTITUTE(SUBSTITUTE(SUBSTITUTE(SUBSTITUTE(SUBSTITUTE(SUBSTITUTE(SUBSTITUTE(SUBSTITUTE(SUBSTITUTE(SUBSTITUTE(SUBSTITUTE(C51,".",""),",",""),";",""),":",""),"!",""),"?",""),"""",""),"'",""),"’",""),"“",""),"”",""))))</f>
        <v/>
      </c>
      <c r="N51" s="46">
        <f>IF($A51="","",SUBSTITUTE(SUBSTITUTE(LOWER(TRIM(SUBSTITUTE(SUBSTITUTE(SUBSTITUTE(SUBSTITUTE(SUBSTITUTE(SUBSTITUTE(SUBSTITUTE(SUBSTITUTE(SUBSTITUTE(SUBSTITUTE(SUBSTITUTE(D51,".",""),",",""),";",""),":",""),"!",""),"?",""),"""",""),"'",""),"’",""),"“",""),"”","")))," |","|"),"| ","|"))</f>
        <v/>
      </c>
      <c r="O51" s="46">
        <f>IF($A51="","",LOWER(TRIM(SUBSTITUTE(SUBSTITUTE(SUBSTITUTE(SUBSTITUTE(SUBSTITUTE(SUBSTITUTE(SUBSTITUTE(SUBSTITUTE(SUBSTITUTE(SUBSTITUTE(SUBSTITUTE(E51,".",""),",",""),";",""),":",""),"!",""),"?",""),"""",""),"'",""),"’",""),"“",""),"”",""))))</f>
        <v/>
      </c>
      <c r="P51" s="46">
        <f>IF($A51="","",LOWER(TRIM(SUBSTITUTE(SUBSTITUTE(SUBSTITUTE(SUBSTITUTE(SUBSTITUTE(SUBSTITUTE(SUBSTITUTE(SUBSTITUTE(SUBSTITUTE(SUBSTITUTE(SUBSTITUTE(F51,".",""),",",""),";",""),":",""),"!",""),"?",""),"""",""),"'",""),"’",""),"“",""),"”",""))))</f>
        <v/>
      </c>
      <c r="Q51" s="46">
        <f>IF($A51="","",LOWER(TRIM(SUBSTITUTE(SUBSTITUTE(SUBSTITUTE(SUBSTITUTE(SUBSTITUTE(SUBSTITUTE(SUBSTITUTE(SUBSTITUTE(SUBSTITUTE(SUBSTITUTE(SUBSTITUTE(G51,".",""),",",""),";",""),":",""),"!",""),"?",""),"""",""),"'",""),"’",""),"“",""),"”",""))))</f>
        <v/>
      </c>
      <c r="R51" s="46">
        <f>IF($A51="","",LEN(O51))</f>
        <v/>
      </c>
      <c r="S51" s="46">
        <f>IF($A51="","",IF(O51="",0,LEN(O51)-LEN(SUBSTITUTE(O51," ",""))+1))</f>
        <v/>
      </c>
      <c r="T51" s="46">
        <f>IF($A51="","",IF(AND(O51&lt;&gt;"",OR(O51=M51,AND(N51&lt;&gt;"",ISNUMBER(FIND("|"&amp;O51&amp;"|","|"&amp;N51&amp;"|"))))),1,0))</f>
        <v/>
      </c>
      <c r="U51" s="46">
        <f>IF($A51="","",IF(AND(Q51&lt;&gt;"",OR(Q51=M51,AND(N51&lt;&gt;"",ISNUMBER(FIND("|"&amp;Q51&amp;"|","|"&amp;N51&amp;"|"))))),1,0))</f>
        <v/>
      </c>
      <c r="V51" s="46">
        <f>IF($A51="","",IF(P51=O51,1,0))</f>
        <v/>
      </c>
      <c r="W51" s="46">
        <f>IF($A51="","",IF(Q51=O51,1,0))</f>
        <v/>
      </c>
      <c r="X51" s="46">
        <f>IF(OR($A51="",$H51=""),"",IF(AND($H51=1,T51=1),"TA",IF(AND($H51=0,T51=1),"FA",IF($H51=1,"FR","TR"))))</f>
        <v/>
      </c>
      <c r="Y51" s="46">
        <f>IF(OR($A51="",$H51=""),"",IF(AND($H51=1,U51=1),"TA",IF(AND($H51=0,U51=1),"FA",IF($H51=1,"FR","TR"))))</f>
        <v/>
      </c>
    </row>
    <row r="52" ht="15" customHeight="1" s="28">
      <c r="A52" s="54" t="n"/>
      <c r="B52" s="54" t="n"/>
      <c r="C52" s="54" t="n"/>
      <c r="D52" s="54" t="n"/>
      <c r="E52" s="54" t="n"/>
      <c r="F52" s="54" t="n"/>
      <c r="G52" s="54" t="n"/>
      <c r="H52" s="54" t="n"/>
      <c r="I52" s="54" t="n"/>
      <c r="J52" s="54" t="n"/>
      <c r="K52" s="54" t="n"/>
      <c r="L52" s="54" t="n"/>
      <c r="M52" s="46">
        <f>IF($A52="","",LOWER(TRIM(SUBSTITUTE(SUBSTITUTE(SUBSTITUTE(SUBSTITUTE(SUBSTITUTE(SUBSTITUTE(SUBSTITUTE(SUBSTITUTE(SUBSTITUTE(SUBSTITUTE(SUBSTITUTE(C52,".",""),",",""),";",""),":",""),"!",""),"?",""),"""",""),"'",""),"’",""),"“",""),"”",""))))</f>
        <v/>
      </c>
      <c r="N52" s="46">
        <f>IF($A52="","",SUBSTITUTE(SUBSTITUTE(LOWER(TRIM(SUBSTITUTE(SUBSTITUTE(SUBSTITUTE(SUBSTITUTE(SUBSTITUTE(SUBSTITUTE(SUBSTITUTE(SUBSTITUTE(SUBSTITUTE(SUBSTITUTE(SUBSTITUTE(D52,".",""),",",""),";",""),":",""),"!",""),"?",""),"""",""),"'",""),"’",""),"“",""),"”","")))," |","|"),"| ","|"))</f>
        <v/>
      </c>
      <c r="O52" s="46">
        <f>IF($A52="","",LOWER(TRIM(SUBSTITUTE(SUBSTITUTE(SUBSTITUTE(SUBSTITUTE(SUBSTITUTE(SUBSTITUTE(SUBSTITUTE(SUBSTITUTE(SUBSTITUTE(SUBSTITUTE(SUBSTITUTE(E52,".",""),",",""),";",""),":",""),"!",""),"?",""),"""",""),"'",""),"’",""),"“",""),"”",""))))</f>
        <v/>
      </c>
      <c r="P52" s="46">
        <f>IF($A52="","",LOWER(TRIM(SUBSTITUTE(SUBSTITUTE(SUBSTITUTE(SUBSTITUTE(SUBSTITUTE(SUBSTITUTE(SUBSTITUTE(SUBSTITUTE(SUBSTITUTE(SUBSTITUTE(SUBSTITUTE(F52,".",""),",",""),";",""),":",""),"!",""),"?",""),"""",""),"'",""),"’",""),"“",""),"”",""))))</f>
        <v/>
      </c>
      <c r="Q52" s="46">
        <f>IF($A52="","",LOWER(TRIM(SUBSTITUTE(SUBSTITUTE(SUBSTITUTE(SUBSTITUTE(SUBSTITUTE(SUBSTITUTE(SUBSTITUTE(SUBSTITUTE(SUBSTITUTE(SUBSTITUTE(SUBSTITUTE(G52,".",""),",",""),";",""),":",""),"!",""),"?",""),"""",""),"'",""),"’",""),"“",""),"”",""))))</f>
        <v/>
      </c>
      <c r="R52" s="46">
        <f>IF($A52="","",LEN(O52))</f>
        <v/>
      </c>
      <c r="S52" s="46">
        <f>IF($A52="","",IF(O52="",0,LEN(O52)-LEN(SUBSTITUTE(O52," ",""))+1))</f>
        <v/>
      </c>
      <c r="T52" s="46">
        <f>IF($A52="","",IF(AND(O52&lt;&gt;"",OR(O52=M52,AND(N52&lt;&gt;"",ISNUMBER(FIND("|"&amp;O52&amp;"|","|"&amp;N52&amp;"|"))))),1,0))</f>
        <v/>
      </c>
      <c r="U52" s="46">
        <f>IF($A52="","",IF(AND(Q52&lt;&gt;"",OR(Q52=M52,AND(N52&lt;&gt;"",ISNUMBER(FIND("|"&amp;Q52&amp;"|","|"&amp;N52&amp;"|"))))),1,0))</f>
        <v/>
      </c>
      <c r="V52" s="46">
        <f>IF($A52="","",IF(P52=O52,1,0))</f>
        <v/>
      </c>
      <c r="W52" s="46">
        <f>IF($A52="","",IF(Q52=O52,1,0))</f>
        <v/>
      </c>
      <c r="X52" s="46">
        <f>IF(OR($A52="",$H52=""),"",IF(AND($H52=1,T52=1),"TA",IF(AND($H52=0,T52=1),"FA",IF($H52=1,"FR","TR"))))</f>
        <v/>
      </c>
      <c r="Y52" s="46">
        <f>IF(OR($A52="",$H52=""),"",IF(AND($H52=1,U52=1),"TA",IF(AND($H52=0,U52=1),"FA",IF($H52=1,"FR","TR"))))</f>
        <v/>
      </c>
    </row>
    <row r="53" ht="15" customHeight="1" s="28">
      <c r="A53" s="54" t="n"/>
      <c r="B53" s="54" t="n"/>
      <c r="C53" s="54" t="n"/>
      <c r="D53" s="54" t="n"/>
      <c r="E53" s="54" t="n"/>
      <c r="F53" s="54" t="n"/>
      <c r="G53" s="54" t="n"/>
      <c r="H53" s="54" t="n"/>
      <c r="I53" s="54" t="n"/>
      <c r="J53" s="54" t="n"/>
      <c r="K53" s="54" t="n"/>
      <c r="L53" s="54" t="n"/>
      <c r="M53" s="46">
        <f>IF($A53="","",LOWER(TRIM(SUBSTITUTE(SUBSTITUTE(SUBSTITUTE(SUBSTITUTE(SUBSTITUTE(SUBSTITUTE(SUBSTITUTE(SUBSTITUTE(SUBSTITUTE(SUBSTITUTE(SUBSTITUTE(C53,".",""),",",""),";",""),":",""),"!",""),"?",""),"""",""),"'",""),"’",""),"“",""),"”",""))))</f>
        <v/>
      </c>
      <c r="N53" s="46">
        <f>IF($A53="","",SUBSTITUTE(SUBSTITUTE(LOWER(TRIM(SUBSTITUTE(SUBSTITUTE(SUBSTITUTE(SUBSTITUTE(SUBSTITUTE(SUBSTITUTE(SUBSTITUTE(SUBSTITUTE(SUBSTITUTE(SUBSTITUTE(SUBSTITUTE(D53,".",""),",",""),";",""),":",""),"!",""),"?",""),"""",""),"'",""),"’",""),"“",""),"”","")))," |","|"),"| ","|"))</f>
        <v/>
      </c>
      <c r="O53" s="46">
        <f>IF($A53="","",LOWER(TRIM(SUBSTITUTE(SUBSTITUTE(SUBSTITUTE(SUBSTITUTE(SUBSTITUTE(SUBSTITUTE(SUBSTITUTE(SUBSTITUTE(SUBSTITUTE(SUBSTITUTE(SUBSTITUTE(E53,".",""),",",""),";",""),":",""),"!",""),"?",""),"""",""),"'",""),"’",""),"“",""),"”",""))))</f>
        <v/>
      </c>
      <c r="P53" s="46">
        <f>IF($A53="","",LOWER(TRIM(SUBSTITUTE(SUBSTITUTE(SUBSTITUTE(SUBSTITUTE(SUBSTITUTE(SUBSTITUTE(SUBSTITUTE(SUBSTITUTE(SUBSTITUTE(SUBSTITUTE(SUBSTITUTE(F53,".",""),",",""),";",""),":",""),"!",""),"?",""),"""",""),"'",""),"’",""),"“",""),"”",""))))</f>
        <v/>
      </c>
      <c r="Q53" s="46">
        <f>IF($A53="","",LOWER(TRIM(SUBSTITUTE(SUBSTITUTE(SUBSTITUTE(SUBSTITUTE(SUBSTITUTE(SUBSTITUTE(SUBSTITUTE(SUBSTITUTE(SUBSTITUTE(SUBSTITUTE(SUBSTITUTE(G53,".",""),",",""),";",""),":",""),"!",""),"?",""),"""",""),"'",""),"’",""),"“",""),"”",""))))</f>
        <v/>
      </c>
      <c r="R53" s="46">
        <f>IF($A53="","",LEN(O53))</f>
        <v/>
      </c>
      <c r="S53" s="46">
        <f>IF($A53="","",IF(O53="",0,LEN(O53)-LEN(SUBSTITUTE(O53," ",""))+1))</f>
        <v/>
      </c>
      <c r="T53" s="46">
        <f>IF($A53="","",IF(AND(O53&lt;&gt;"",OR(O53=M53,AND(N53&lt;&gt;"",ISNUMBER(FIND("|"&amp;O53&amp;"|","|"&amp;N53&amp;"|"))))),1,0))</f>
        <v/>
      </c>
      <c r="U53" s="46">
        <f>IF($A53="","",IF(AND(Q53&lt;&gt;"",OR(Q53=M53,AND(N53&lt;&gt;"",ISNUMBER(FIND("|"&amp;Q53&amp;"|","|"&amp;N53&amp;"|"))))),1,0))</f>
        <v/>
      </c>
      <c r="V53" s="46">
        <f>IF($A53="","",IF(P53=O53,1,0))</f>
        <v/>
      </c>
      <c r="W53" s="46">
        <f>IF($A53="","",IF(Q53=O53,1,0))</f>
        <v/>
      </c>
      <c r="X53" s="46">
        <f>IF(OR($A53="",$H53=""),"",IF(AND($H53=1,T53=1),"TA",IF(AND($H53=0,T53=1),"FA",IF($H53=1,"FR","TR"))))</f>
        <v/>
      </c>
      <c r="Y53" s="46">
        <f>IF(OR($A53="",$H53=""),"",IF(AND($H53=1,U53=1),"TA",IF(AND($H53=0,U53=1),"FA",IF($H53=1,"FR","TR"))))</f>
        <v/>
      </c>
    </row>
    <row r="54" ht="15" customHeight="1" s="28">
      <c r="A54" s="54" t="n"/>
      <c r="B54" s="54" t="n"/>
      <c r="C54" s="54" t="n"/>
      <c r="D54" s="54" t="n"/>
      <c r="E54" s="54" t="n"/>
      <c r="F54" s="54" t="n"/>
      <c r="G54" s="54" t="n"/>
      <c r="H54" s="54" t="n"/>
      <c r="I54" s="54" t="n"/>
      <c r="J54" s="54" t="n"/>
      <c r="K54" s="54" t="n"/>
      <c r="L54" s="54" t="n"/>
      <c r="M54" s="46">
        <f>IF($A54="","",LOWER(TRIM(SUBSTITUTE(SUBSTITUTE(SUBSTITUTE(SUBSTITUTE(SUBSTITUTE(SUBSTITUTE(SUBSTITUTE(SUBSTITUTE(SUBSTITUTE(SUBSTITUTE(SUBSTITUTE(C54,".",""),",",""),";",""),":",""),"!",""),"?",""),"""",""),"'",""),"’",""),"“",""),"”",""))))</f>
        <v/>
      </c>
      <c r="N54" s="46">
        <f>IF($A54="","",SUBSTITUTE(SUBSTITUTE(LOWER(TRIM(SUBSTITUTE(SUBSTITUTE(SUBSTITUTE(SUBSTITUTE(SUBSTITUTE(SUBSTITUTE(SUBSTITUTE(SUBSTITUTE(SUBSTITUTE(SUBSTITUTE(SUBSTITUTE(D54,".",""),",",""),";",""),":",""),"!",""),"?",""),"""",""),"'",""),"’",""),"“",""),"”","")))," |","|"),"| ","|"))</f>
        <v/>
      </c>
      <c r="O54" s="46">
        <f>IF($A54="","",LOWER(TRIM(SUBSTITUTE(SUBSTITUTE(SUBSTITUTE(SUBSTITUTE(SUBSTITUTE(SUBSTITUTE(SUBSTITUTE(SUBSTITUTE(SUBSTITUTE(SUBSTITUTE(SUBSTITUTE(E54,".",""),",",""),";",""),":",""),"!",""),"?",""),"""",""),"'",""),"’",""),"“",""),"”",""))))</f>
        <v/>
      </c>
      <c r="P54" s="46">
        <f>IF($A54="","",LOWER(TRIM(SUBSTITUTE(SUBSTITUTE(SUBSTITUTE(SUBSTITUTE(SUBSTITUTE(SUBSTITUTE(SUBSTITUTE(SUBSTITUTE(SUBSTITUTE(SUBSTITUTE(SUBSTITUTE(F54,".",""),",",""),";",""),":",""),"!",""),"?",""),"""",""),"'",""),"’",""),"“",""),"”",""))))</f>
        <v/>
      </c>
      <c r="Q54" s="46">
        <f>IF($A54="","",LOWER(TRIM(SUBSTITUTE(SUBSTITUTE(SUBSTITUTE(SUBSTITUTE(SUBSTITUTE(SUBSTITUTE(SUBSTITUTE(SUBSTITUTE(SUBSTITUTE(SUBSTITUTE(SUBSTITUTE(G54,".",""),",",""),";",""),":",""),"!",""),"?",""),"""",""),"'",""),"’",""),"“",""),"”",""))))</f>
        <v/>
      </c>
      <c r="R54" s="46">
        <f>IF($A54="","",LEN(O54))</f>
        <v/>
      </c>
      <c r="S54" s="46">
        <f>IF($A54="","",IF(O54="",0,LEN(O54)-LEN(SUBSTITUTE(O54," ",""))+1))</f>
        <v/>
      </c>
      <c r="T54" s="46">
        <f>IF($A54="","",IF(AND(O54&lt;&gt;"",OR(O54=M54,AND(N54&lt;&gt;"",ISNUMBER(FIND("|"&amp;O54&amp;"|","|"&amp;N54&amp;"|"))))),1,0))</f>
        <v/>
      </c>
      <c r="U54" s="46">
        <f>IF($A54="","",IF(AND(Q54&lt;&gt;"",OR(Q54=M54,AND(N54&lt;&gt;"",ISNUMBER(FIND("|"&amp;Q54&amp;"|","|"&amp;N54&amp;"|"))))),1,0))</f>
        <v/>
      </c>
      <c r="V54" s="46">
        <f>IF($A54="","",IF(P54=O54,1,0))</f>
        <v/>
      </c>
      <c r="W54" s="46">
        <f>IF($A54="","",IF(Q54=O54,1,0))</f>
        <v/>
      </c>
      <c r="X54" s="46">
        <f>IF(OR($A54="",$H54=""),"",IF(AND($H54=1,T54=1),"TA",IF(AND($H54=0,T54=1),"FA",IF($H54=1,"FR","TR"))))</f>
        <v/>
      </c>
      <c r="Y54" s="46">
        <f>IF(OR($A54="",$H54=""),"",IF(AND($H54=1,U54=1),"TA",IF(AND($H54=0,U54=1),"FA",IF($H54=1,"FR","TR"))))</f>
        <v/>
      </c>
    </row>
    <row r="55" ht="15" customHeight="1" s="28">
      <c r="A55" s="54" t="n"/>
      <c r="B55" s="54" t="n"/>
      <c r="C55" s="54" t="n"/>
      <c r="D55" s="54" t="n"/>
      <c r="E55" s="54" t="n"/>
      <c r="F55" s="54" t="n"/>
      <c r="G55" s="54" t="n"/>
      <c r="H55" s="54" t="n"/>
      <c r="I55" s="54" t="n"/>
      <c r="J55" s="54" t="n"/>
      <c r="K55" s="54" t="n"/>
      <c r="L55" s="54" t="n"/>
      <c r="M55" s="46">
        <f>IF($A55="","",LOWER(TRIM(SUBSTITUTE(SUBSTITUTE(SUBSTITUTE(SUBSTITUTE(SUBSTITUTE(SUBSTITUTE(SUBSTITUTE(SUBSTITUTE(SUBSTITUTE(SUBSTITUTE(SUBSTITUTE(C55,".",""),",",""),";",""),":",""),"!",""),"?",""),"""",""),"'",""),"’",""),"“",""),"”",""))))</f>
        <v/>
      </c>
      <c r="N55" s="46">
        <f>IF($A55="","",SUBSTITUTE(SUBSTITUTE(LOWER(TRIM(SUBSTITUTE(SUBSTITUTE(SUBSTITUTE(SUBSTITUTE(SUBSTITUTE(SUBSTITUTE(SUBSTITUTE(SUBSTITUTE(SUBSTITUTE(SUBSTITUTE(SUBSTITUTE(D55,".",""),",",""),";",""),":",""),"!",""),"?",""),"""",""),"'",""),"’",""),"“",""),"”","")))," |","|"),"| ","|"))</f>
        <v/>
      </c>
      <c r="O55" s="46">
        <f>IF($A55="","",LOWER(TRIM(SUBSTITUTE(SUBSTITUTE(SUBSTITUTE(SUBSTITUTE(SUBSTITUTE(SUBSTITUTE(SUBSTITUTE(SUBSTITUTE(SUBSTITUTE(SUBSTITUTE(SUBSTITUTE(E55,".",""),",",""),";",""),":",""),"!",""),"?",""),"""",""),"'",""),"’",""),"“",""),"”",""))))</f>
        <v/>
      </c>
      <c r="P55" s="46">
        <f>IF($A55="","",LOWER(TRIM(SUBSTITUTE(SUBSTITUTE(SUBSTITUTE(SUBSTITUTE(SUBSTITUTE(SUBSTITUTE(SUBSTITUTE(SUBSTITUTE(SUBSTITUTE(SUBSTITUTE(SUBSTITUTE(F55,".",""),",",""),";",""),":",""),"!",""),"?",""),"""",""),"'",""),"’",""),"“",""),"”",""))))</f>
        <v/>
      </c>
      <c r="Q55" s="46">
        <f>IF($A55="","",LOWER(TRIM(SUBSTITUTE(SUBSTITUTE(SUBSTITUTE(SUBSTITUTE(SUBSTITUTE(SUBSTITUTE(SUBSTITUTE(SUBSTITUTE(SUBSTITUTE(SUBSTITUTE(SUBSTITUTE(G55,".",""),",",""),";",""),":",""),"!",""),"?",""),"""",""),"'",""),"’",""),"“",""),"”",""))))</f>
        <v/>
      </c>
      <c r="R55" s="46">
        <f>IF($A55="","",LEN(O55))</f>
        <v/>
      </c>
      <c r="S55" s="46">
        <f>IF($A55="","",IF(O55="",0,LEN(O55)-LEN(SUBSTITUTE(O55," ",""))+1))</f>
        <v/>
      </c>
      <c r="T55" s="46">
        <f>IF($A55="","",IF(AND(O55&lt;&gt;"",OR(O55=M55,AND(N55&lt;&gt;"",ISNUMBER(FIND("|"&amp;O55&amp;"|","|"&amp;N55&amp;"|"))))),1,0))</f>
        <v/>
      </c>
      <c r="U55" s="46">
        <f>IF($A55="","",IF(AND(Q55&lt;&gt;"",OR(Q55=M55,AND(N55&lt;&gt;"",ISNUMBER(FIND("|"&amp;Q55&amp;"|","|"&amp;N55&amp;"|"))))),1,0))</f>
        <v/>
      </c>
      <c r="V55" s="46">
        <f>IF($A55="","",IF(P55=O55,1,0))</f>
        <v/>
      </c>
      <c r="W55" s="46">
        <f>IF($A55="","",IF(Q55=O55,1,0))</f>
        <v/>
      </c>
      <c r="X55" s="46">
        <f>IF(OR($A55="",$H55=""),"",IF(AND($H55=1,T55=1),"TA",IF(AND($H55=0,T55=1),"FA",IF($H55=1,"FR","TR"))))</f>
        <v/>
      </c>
      <c r="Y55" s="46">
        <f>IF(OR($A55="",$H55=""),"",IF(AND($H55=1,U55=1),"TA",IF(AND($H55=0,U55=1),"FA",IF($H55=1,"FR","TR"))))</f>
        <v/>
      </c>
    </row>
    <row r="56" ht="15" customHeight="1" s="28">
      <c r="A56" s="54" t="n"/>
      <c r="B56" s="54" t="n"/>
      <c r="C56" s="54" t="n"/>
      <c r="D56" s="54" t="n"/>
      <c r="E56" s="54" t="n"/>
      <c r="F56" s="54" t="n"/>
      <c r="G56" s="54" t="n"/>
      <c r="H56" s="54" t="n"/>
      <c r="I56" s="54" t="n"/>
      <c r="J56" s="54" t="n"/>
      <c r="K56" s="54" t="n"/>
      <c r="L56" s="54" t="n"/>
      <c r="M56" s="46">
        <f>IF($A56="","",LOWER(TRIM(SUBSTITUTE(SUBSTITUTE(SUBSTITUTE(SUBSTITUTE(SUBSTITUTE(SUBSTITUTE(SUBSTITUTE(SUBSTITUTE(SUBSTITUTE(SUBSTITUTE(SUBSTITUTE(C56,".",""),",",""),";",""),":",""),"!",""),"?",""),"""",""),"'",""),"’",""),"“",""),"”",""))))</f>
        <v/>
      </c>
      <c r="N56" s="46">
        <f>IF($A56="","",SUBSTITUTE(SUBSTITUTE(LOWER(TRIM(SUBSTITUTE(SUBSTITUTE(SUBSTITUTE(SUBSTITUTE(SUBSTITUTE(SUBSTITUTE(SUBSTITUTE(SUBSTITUTE(SUBSTITUTE(SUBSTITUTE(SUBSTITUTE(D56,".",""),",",""),";",""),":",""),"!",""),"?",""),"""",""),"'",""),"’",""),"“",""),"”","")))," |","|"),"| ","|"))</f>
        <v/>
      </c>
      <c r="O56" s="46">
        <f>IF($A56="","",LOWER(TRIM(SUBSTITUTE(SUBSTITUTE(SUBSTITUTE(SUBSTITUTE(SUBSTITUTE(SUBSTITUTE(SUBSTITUTE(SUBSTITUTE(SUBSTITUTE(SUBSTITUTE(SUBSTITUTE(E56,".",""),",",""),";",""),":",""),"!",""),"?",""),"""",""),"'",""),"’",""),"“",""),"”",""))))</f>
        <v/>
      </c>
      <c r="P56" s="46">
        <f>IF($A56="","",LOWER(TRIM(SUBSTITUTE(SUBSTITUTE(SUBSTITUTE(SUBSTITUTE(SUBSTITUTE(SUBSTITUTE(SUBSTITUTE(SUBSTITUTE(SUBSTITUTE(SUBSTITUTE(SUBSTITUTE(F56,".",""),",",""),";",""),":",""),"!",""),"?",""),"""",""),"'",""),"’",""),"“",""),"”",""))))</f>
        <v/>
      </c>
      <c r="Q56" s="46">
        <f>IF($A56="","",LOWER(TRIM(SUBSTITUTE(SUBSTITUTE(SUBSTITUTE(SUBSTITUTE(SUBSTITUTE(SUBSTITUTE(SUBSTITUTE(SUBSTITUTE(SUBSTITUTE(SUBSTITUTE(SUBSTITUTE(G56,".",""),",",""),";",""),":",""),"!",""),"?",""),"""",""),"'",""),"’",""),"“",""),"”",""))))</f>
        <v/>
      </c>
      <c r="R56" s="46">
        <f>IF($A56="","",LEN(O56))</f>
        <v/>
      </c>
      <c r="S56" s="46">
        <f>IF($A56="","",IF(O56="",0,LEN(O56)-LEN(SUBSTITUTE(O56," ",""))+1))</f>
        <v/>
      </c>
      <c r="T56" s="46">
        <f>IF($A56="","",IF(AND(O56&lt;&gt;"",OR(O56=M56,AND(N56&lt;&gt;"",ISNUMBER(FIND("|"&amp;O56&amp;"|","|"&amp;N56&amp;"|"))))),1,0))</f>
        <v/>
      </c>
      <c r="U56" s="46">
        <f>IF($A56="","",IF(AND(Q56&lt;&gt;"",OR(Q56=M56,AND(N56&lt;&gt;"",ISNUMBER(FIND("|"&amp;Q56&amp;"|","|"&amp;N56&amp;"|"))))),1,0))</f>
        <v/>
      </c>
      <c r="V56" s="46">
        <f>IF($A56="","",IF(P56=O56,1,0))</f>
        <v/>
      </c>
      <c r="W56" s="46">
        <f>IF($A56="","",IF(Q56=O56,1,0))</f>
        <v/>
      </c>
      <c r="X56" s="46">
        <f>IF(OR($A56="",$H56=""),"",IF(AND($H56=1,T56=1),"TA",IF(AND($H56=0,T56=1),"FA",IF($H56=1,"FR","TR"))))</f>
        <v/>
      </c>
      <c r="Y56" s="46">
        <f>IF(OR($A56="",$H56=""),"",IF(AND($H56=1,U56=1),"TA",IF(AND($H56=0,U56=1),"FA",IF($H56=1,"FR","TR"))))</f>
        <v/>
      </c>
    </row>
    <row r="57" ht="15" customHeight="1" s="28">
      <c r="A57" s="54" t="n"/>
      <c r="B57" s="54" t="n"/>
      <c r="C57" s="54" t="n"/>
      <c r="D57" s="54" t="n"/>
      <c r="E57" s="54" t="n"/>
      <c r="F57" s="54" t="n"/>
      <c r="G57" s="54" t="n"/>
      <c r="H57" s="54" t="n"/>
      <c r="I57" s="54" t="n"/>
      <c r="J57" s="54" t="n"/>
      <c r="K57" s="54" t="n"/>
      <c r="L57" s="54" t="n"/>
      <c r="M57" s="46">
        <f>IF($A57="","",LOWER(TRIM(SUBSTITUTE(SUBSTITUTE(SUBSTITUTE(SUBSTITUTE(SUBSTITUTE(SUBSTITUTE(SUBSTITUTE(SUBSTITUTE(SUBSTITUTE(SUBSTITUTE(SUBSTITUTE(C57,".",""),",",""),";",""),":",""),"!",""),"?",""),"""",""),"'",""),"’",""),"“",""),"”",""))))</f>
        <v/>
      </c>
      <c r="N57" s="46">
        <f>IF($A57="","",SUBSTITUTE(SUBSTITUTE(LOWER(TRIM(SUBSTITUTE(SUBSTITUTE(SUBSTITUTE(SUBSTITUTE(SUBSTITUTE(SUBSTITUTE(SUBSTITUTE(SUBSTITUTE(SUBSTITUTE(SUBSTITUTE(SUBSTITUTE(D57,".",""),",",""),";",""),":",""),"!",""),"?",""),"""",""),"'",""),"’",""),"“",""),"”","")))," |","|"),"| ","|"))</f>
        <v/>
      </c>
      <c r="O57" s="46">
        <f>IF($A57="","",LOWER(TRIM(SUBSTITUTE(SUBSTITUTE(SUBSTITUTE(SUBSTITUTE(SUBSTITUTE(SUBSTITUTE(SUBSTITUTE(SUBSTITUTE(SUBSTITUTE(SUBSTITUTE(SUBSTITUTE(E57,".",""),",",""),";",""),":",""),"!",""),"?",""),"""",""),"'",""),"’",""),"“",""),"”",""))))</f>
        <v/>
      </c>
      <c r="P57" s="46">
        <f>IF($A57="","",LOWER(TRIM(SUBSTITUTE(SUBSTITUTE(SUBSTITUTE(SUBSTITUTE(SUBSTITUTE(SUBSTITUTE(SUBSTITUTE(SUBSTITUTE(SUBSTITUTE(SUBSTITUTE(SUBSTITUTE(F57,".",""),",",""),";",""),":",""),"!",""),"?",""),"""",""),"'",""),"’",""),"“",""),"”",""))))</f>
        <v/>
      </c>
      <c r="Q57" s="46">
        <f>IF($A57="","",LOWER(TRIM(SUBSTITUTE(SUBSTITUTE(SUBSTITUTE(SUBSTITUTE(SUBSTITUTE(SUBSTITUTE(SUBSTITUTE(SUBSTITUTE(SUBSTITUTE(SUBSTITUTE(SUBSTITUTE(G57,".",""),",",""),";",""),":",""),"!",""),"?",""),"""",""),"'",""),"’",""),"“",""),"”",""))))</f>
        <v/>
      </c>
      <c r="R57" s="46">
        <f>IF($A57="","",LEN(O57))</f>
        <v/>
      </c>
      <c r="S57" s="46">
        <f>IF($A57="","",IF(O57="",0,LEN(O57)-LEN(SUBSTITUTE(O57," ",""))+1))</f>
        <v/>
      </c>
      <c r="T57" s="46">
        <f>IF($A57="","",IF(AND(O57&lt;&gt;"",OR(O57=M57,AND(N57&lt;&gt;"",ISNUMBER(FIND("|"&amp;O57&amp;"|","|"&amp;N57&amp;"|"))))),1,0))</f>
        <v/>
      </c>
      <c r="U57" s="46">
        <f>IF($A57="","",IF(AND(Q57&lt;&gt;"",OR(Q57=M57,AND(N57&lt;&gt;"",ISNUMBER(FIND("|"&amp;Q57&amp;"|","|"&amp;N57&amp;"|"))))),1,0))</f>
        <v/>
      </c>
      <c r="V57" s="46">
        <f>IF($A57="","",IF(P57=O57,1,0))</f>
        <v/>
      </c>
      <c r="W57" s="46">
        <f>IF($A57="","",IF(Q57=O57,1,0))</f>
        <v/>
      </c>
      <c r="X57" s="46">
        <f>IF(OR($A57="",$H57=""),"",IF(AND($H57=1,T57=1),"TA",IF(AND($H57=0,T57=1),"FA",IF($H57=1,"FR","TR"))))</f>
        <v/>
      </c>
      <c r="Y57" s="46">
        <f>IF(OR($A57="",$H57=""),"",IF(AND($H57=1,U57=1),"TA",IF(AND($H57=0,U57=1),"FA",IF($H57=1,"FR","TR"))))</f>
        <v/>
      </c>
    </row>
    <row r="58" ht="15" customHeight="1" s="28">
      <c r="A58" s="54" t="n"/>
      <c r="B58" s="54" t="n"/>
      <c r="C58" s="54" t="n"/>
      <c r="D58" s="54" t="n"/>
      <c r="E58" s="54" t="n"/>
      <c r="F58" s="54" t="n"/>
      <c r="G58" s="54" t="n"/>
      <c r="H58" s="54" t="n"/>
      <c r="I58" s="54" t="n"/>
      <c r="J58" s="54" t="n"/>
      <c r="K58" s="54" t="n"/>
      <c r="L58" s="54" t="n"/>
      <c r="M58" s="46">
        <f>IF($A58="","",LOWER(TRIM(SUBSTITUTE(SUBSTITUTE(SUBSTITUTE(SUBSTITUTE(SUBSTITUTE(SUBSTITUTE(SUBSTITUTE(SUBSTITUTE(SUBSTITUTE(SUBSTITUTE(SUBSTITUTE(C58,".",""),",",""),";",""),":",""),"!",""),"?",""),"""",""),"'",""),"’",""),"“",""),"”",""))))</f>
        <v/>
      </c>
      <c r="N58" s="46">
        <f>IF($A58="","",SUBSTITUTE(SUBSTITUTE(LOWER(TRIM(SUBSTITUTE(SUBSTITUTE(SUBSTITUTE(SUBSTITUTE(SUBSTITUTE(SUBSTITUTE(SUBSTITUTE(SUBSTITUTE(SUBSTITUTE(SUBSTITUTE(SUBSTITUTE(D58,".",""),",",""),";",""),":",""),"!",""),"?",""),"""",""),"'",""),"’",""),"“",""),"”","")))," |","|"),"| ","|"))</f>
        <v/>
      </c>
      <c r="O58" s="46">
        <f>IF($A58="","",LOWER(TRIM(SUBSTITUTE(SUBSTITUTE(SUBSTITUTE(SUBSTITUTE(SUBSTITUTE(SUBSTITUTE(SUBSTITUTE(SUBSTITUTE(SUBSTITUTE(SUBSTITUTE(SUBSTITUTE(E58,".",""),",",""),";",""),":",""),"!",""),"?",""),"""",""),"'",""),"’",""),"“",""),"”",""))))</f>
        <v/>
      </c>
      <c r="P58" s="46">
        <f>IF($A58="","",LOWER(TRIM(SUBSTITUTE(SUBSTITUTE(SUBSTITUTE(SUBSTITUTE(SUBSTITUTE(SUBSTITUTE(SUBSTITUTE(SUBSTITUTE(SUBSTITUTE(SUBSTITUTE(SUBSTITUTE(F58,".",""),",",""),";",""),":",""),"!",""),"?",""),"""",""),"'",""),"’",""),"“",""),"”",""))))</f>
        <v/>
      </c>
      <c r="Q58" s="46">
        <f>IF($A58="","",LOWER(TRIM(SUBSTITUTE(SUBSTITUTE(SUBSTITUTE(SUBSTITUTE(SUBSTITUTE(SUBSTITUTE(SUBSTITUTE(SUBSTITUTE(SUBSTITUTE(SUBSTITUTE(SUBSTITUTE(G58,".",""),",",""),";",""),":",""),"!",""),"?",""),"""",""),"'",""),"’",""),"“",""),"”",""))))</f>
        <v/>
      </c>
      <c r="R58" s="46">
        <f>IF($A58="","",LEN(O58))</f>
        <v/>
      </c>
      <c r="S58" s="46">
        <f>IF($A58="","",IF(O58="",0,LEN(O58)-LEN(SUBSTITUTE(O58," ",""))+1))</f>
        <v/>
      </c>
      <c r="T58" s="46">
        <f>IF($A58="","",IF(AND(O58&lt;&gt;"",OR(O58=M58,AND(N58&lt;&gt;"",ISNUMBER(FIND("|"&amp;O58&amp;"|","|"&amp;N58&amp;"|"))))),1,0))</f>
        <v/>
      </c>
      <c r="U58" s="46">
        <f>IF($A58="","",IF(AND(Q58&lt;&gt;"",OR(Q58=M58,AND(N58&lt;&gt;"",ISNUMBER(FIND("|"&amp;Q58&amp;"|","|"&amp;N58&amp;"|"))))),1,0))</f>
        <v/>
      </c>
      <c r="V58" s="46">
        <f>IF($A58="","",IF(P58=O58,1,0))</f>
        <v/>
      </c>
      <c r="W58" s="46">
        <f>IF($A58="","",IF(Q58=O58,1,0))</f>
        <v/>
      </c>
      <c r="X58" s="46">
        <f>IF(OR($A58="",$H58=""),"",IF(AND($H58=1,T58=1),"TA",IF(AND($H58=0,T58=1),"FA",IF($H58=1,"FR","TR"))))</f>
        <v/>
      </c>
      <c r="Y58" s="46">
        <f>IF(OR($A58="",$H58=""),"",IF(AND($H58=1,U58=1),"TA",IF(AND($H58=0,U58=1),"FA",IF($H58=1,"FR","TR"))))</f>
        <v/>
      </c>
    </row>
    <row r="59" ht="15" customHeight="1" s="28">
      <c r="A59" s="54" t="n"/>
      <c r="B59" s="54" t="n"/>
      <c r="C59" s="54" t="n"/>
      <c r="D59" s="54" t="n"/>
      <c r="E59" s="54" t="n"/>
      <c r="F59" s="54" t="n"/>
      <c r="G59" s="54" t="n"/>
      <c r="H59" s="54" t="n"/>
      <c r="I59" s="54" t="n"/>
      <c r="J59" s="54" t="n"/>
      <c r="K59" s="54" t="n"/>
      <c r="L59" s="54" t="n"/>
      <c r="M59" s="46">
        <f>IF($A59="","",LOWER(TRIM(SUBSTITUTE(SUBSTITUTE(SUBSTITUTE(SUBSTITUTE(SUBSTITUTE(SUBSTITUTE(SUBSTITUTE(SUBSTITUTE(SUBSTITUTE(SUBSTITUTE(SUBSTITUTE(C59,".",""),",",""),";",""),":",""),"!",""),"?",""),"""",""),"'",""),"’",""),"“",""),"”",""))))</f>
        <v/>
      </c>
      <c r="N59" s="46">
        <f>IF($A59="","",SUBSTITUTE(SUBSTITUTE(LOWER(TRIM(SUBSTITUTE(SUBSTITUTE(SUBSTITUTE(SUBSTITUTE(SUBSTITUTE(SUBSTITUTE(SUBSTITUTE(SUBSTITUTE(SUBSTITUTE(SUBSTITUTE(SUBSTITUTE(D59,".",""),",",""),";",""),":",""),"!",""),"?",""),"""",""),"'",""),"’",""),"“",""),"”","")))," |","|"),"| ","|"))</f>
        <v/>
      </c>
      <c r="O59" s="46">
        <f>IF($A59="","",LOWER(TRIM(SUBSTITUTE(SUBSTITUTE(SUBSTITUTE(SUBSTITUTE(SUBSTITUTE(SUBSTITUTE(SUBSTITUTE(SUBSTITUTE(SUBSTITUTE(SUBSTITUTE(SUBSTITUTE(E59,".",""),",",""),";",""),":",""),"!",""),"?",""),"""",""),"'",""),"’",""),"“",""),"”",""))))</f>
        <v/>
      </c>
      <c r="P59" s="46">
        <f>IF($A59="","",LOWER(TRIM(SUBSTITUTE(SUBSTITUTE(SUBSTITUTE(SUBSTITUTE(SUBSTITUTE(SUBSTITUTE(SUBSTITUTE(SUBSTITUTE(SUBSTITUTE(SUBSTITUTE(SUBSTITUTE(F59,".",""),",",""),";",""),":",""),"!",""),"?",""),"""",""),"'",""),"’",""),"“",""),"”",""))))</f>
        <v/>
      </c>
      <c r="Q59" s="46">
        <f>IF($A59="","",LOWER(TRIM(SUBSTITUTE(SUBSTITUTE(SUBSTITUTE(SUBSTITUTE(SUBSTITUTE(SUBSTITUTE(SUBSTITUTE(SUBSTITUTE(SUBSTITUTE(SUBSTITUTE(SUBSTITUTE(G59,".",""),",",""),";",""),":",""),"!",""),"?",""),"""",""),"'",""),"’",""),"“",""),"”",""))))</f>
        <v/>
      </c>
      <c r="R59" s="46">
        <f>IF($A59="","",LEN(O59))</f>
        <v/>
      </c>
      <c r="S59" s="46">
        <f>IF($A59="","",IF(O59="",0,LEN(O59)-LEN(SUBSTITUTE(O59," ",""))+1))</f>
        <v/>
      </c>
      <c r="T59" s="46">
        <f>IF($A59="","",IF(AND(O59&lt;&gt;"",OR(O59=M59,AND(N59&lt;&gt;"",ISNUMBER(FIND("|"&amp;O59&amp;"|","|"&amp;N59&amp;"|"))))),1,0))</f>
        <v/>
      </c>
      <c r="U59" s="46">
        <f>IF($A59="","",IF(AND(Q59&lt;&gt;"",OR(Q59=M59,AND(N59&lt;&gt;"",ISNUMBER(FIND("|"&amp;Q59&amp;"|","|"&amp;N59&amp;"|"))))),1,0))</f>
        <v/>
      </c>
      <c r="V59" s="46">
        <f>IF($A59="","",IF(P59=O59,1,0))</f>
        <v/>
      </c>
      <c r="W59" s="46">
        <f>IF($A59="","",IF(Q59=O59,1,0))</f>
        <v/>
      </c>
      <c r="X59" s="46">
        <f>IF(OR($A59="",$H59=""),"",IF(AND($H59=1,T59=1),"TA",IF(AND($H59=0,T59=1),"FA",IF($H59=1,"FR","TR"))))</f>
        <v/>
      </c>
      <c r="Y59" s="46">
        <f>IF(OR($A59="",$H59=""),"",IF(AND($H59=1,U59=1),"TA",IF(AND($H59=0,U59=1),"FA",IF($H59=1,"FR","TR"))))</f>
        <v/>
      </c>
    </row>
    <row r="60" ht="15" customHeight="1" s="28">
      <c r="A60" s="54" t="n"/>
      <c r="B60" s="54" t="n"/>
      <c r="C60" s="54" t="n"/>
      <c r="D60" s="54" t="n"/>
      <c r="E60" s="54" t="n"/>
      <c r="F60" s="54" t="n"/>
      <c r="G60" s="54" t="n"/>
      <c r="H60" s="54" t="n"/>
      <c r="I60" s="54" t="n"/>
      <c r="J60" s="54" t="n"/>
      <c r="K60" s="54" t="n"/>
      <c r="L60" s="54" t="n"/>
      <c r="M60" s="46">
        <f>IF($A60="","",LOWER(TRIM(SUBSTITUTE(SUBSTITUTE(SUBSTITUTE(SUBSTITUTE(SUBSTITUTE(SUBSTITUTE(SUBSTITUTE(SUBSTITUTE(SUBSTITUTE(SUBSTITUTE(SUBSTITUTE(C60,".",""),",",""),";",""),":",""),"!",""),"?",""),"""",""),"'",""),"’",""),"“",""),"”",""))))</f>
        <v/>
      </c>
      <c r="N60" s="46">
        <f>IF($A60="","",SUBSTITUTE(SUBSTITUTE(LOWER(TRIM(SUBSTITUTE(SUBSTITUTE(SUBSTITUTE(SUBSTITUTE(SUBSTITUTE(SUBSTITUTE(SUBSTITUTE(SUBSTITUTE(SUBSTITUTE(SUBSTITUTE(SUBSTITUTE(D60,".",""),",",""),";",""),":",""),"!",""),"?",""),"""",""),"'",""),"’",""),"“",""),"”","")))," |","|"),"| ","|"))</f>
        <v/>
      </c>
      <c r="O60" s="46">
        <f>IF($A60="","",LOWER(TRIM(SUBSTITUTE(SUBSTITUTE(SUBSTITUTE(SUBSTITUTE(SUBSTITUTE(SUBSTITUTE(SUBSTITUTE(SUBSTITUTE(SUBSTITUTE(SUBSTITUTE(SUBSTITUTE(E60,".",""),",",""),";",""),":",""),"!",""),"?",""),"""",""),"'",""),"’",""),"“",""),"”",""))))</f>
        <v/>
      </c>
      <c r="P60" s="46">
        <f>IF($A60="","",LOWER(TRIM(SUBSTITUTE(SUBSTITUTE(SUBSTITUTE(SUBSTITUTE(SUBSTITUTE(SUBSTITUTE(SUBSTITUTE(SUBSTITUTE(SUBSTITUTE(SUBSTITUTE(SUBSTITUTE(F60,".",""),",",""),";",""),":",""),"!",""),"?",""),"""",""),"'",""),"’",""),"“",""),"”",""))))</f>
        <v/>
      </c>
      <c r="Q60" s="46">
        <f>IF($A60="","",LOWER(TRIM(SUBSTITUTE(SUBSTITUTE(SUBSTITUTE(SUBSTITUTE(SUBSTITUTE(SUBSTITUTE(SUBSTITUTE(SUBSTITUTE(SUBSTITUTE(SUBSTITUTE(SUBSTITUTE(G60,".",""),",",""),";",""),":",""),"!",""),"?",""),"""",""),"'",""),"’",""),"“",""),"”",""))))</f>
        <v/>
      </c>
      <c r="R60" s="46">
        <f>IF($A60="","",LEN(O60))</f>
        <v/>
      </c>
      <c r="S60" s="46">
        <f>IF($A60="","",IF(O60="",0,LEN(O60)-LEN(SUBSTITUTE(O60," ",""))+1))</f>
        <v/>
      </c>
      <c r="T60" s="46">
        <f>IF($A60="","",IF(AND(O60&lt;&gt;"",OR(O60=M60,AND(N60&lt;&gt;"",ISNUMBER(FIND("|"&amp;O60&amp;"|","|"&amp;N60&amp;"|"))))),1,0))</f>
        <v/>
      </c>
      <c r="U60" s="46">
        <f>IF($A60="","",IF(AND(Q60&lt;&gt;"",OR(Q60=M60,AND(N60&lt;&gt;"",ISNUMBER(FIND("|"&amp;Q60&amp;"|","|"&amp;N60&amp;"|"))))),1,0))</f>
        <v/>
      </c>
      <c r="V60" s="46">
        <f>IF($A60="","",IF(P60=O60,1,0))</f>
        <v/>
      </c>
      <c r="W60" s="46">
        <f>IF($A60="","",IF(Q60=O60,1,0))</f>
        <v/>
      </c>
      <c r="X60" s="46">
        <f>IF(OR($A60="",$H60=""),"",IF(AND($H60=1,T60=1),"TA",IF(AND($H60=0,T60=1),"FA",IF($H60=1,"FR","TR"))))</f>
        <v/>
      </c>
      <c r="Y60" s="46">
        <f>IF(OR($A60="",$H60=""),"",IF(AND($H60=1,U60=1),"TA",IF(AND($H60=0,U60=1),"FA",IF($H60=1,"FR","TR"))))</f>
        <v/>
      </c>
    </row>
    <row r="61" ht="15" customHeight="1" s="28">
      <c r="A61" s="54" t="n"/>
      <c r="B61" s="54" t="n"/>
      <c r="C61" s="54" t="n"/>
      <c r="D61" s="54" t="n"/>
      <c r="E61" s="54" t="n"/>
      <c r="F61" s="54" t="n"/>
      <c r="G61" s="54" t="n"/>
      <c r="H61" s="54" t="n"/>
      <c r="I61" s="54" t="n"/>
      <c r="J61" s="54" t="n"/>
      <c r="K61" s="54" t="n"/>
      <c r="L61" s="54" t="n"/>
      <c r="M61" s="46">
        <f>IF($A61="","",LOWER(TRIM(SUBSTITUTE(SUBSTITUTE(SUBSTITUTE(SUBSTITUTE(SUBSTITUTE(SUBSTITUTE(SUBSTITUTE(SUBSTITUTE(SUBSTITUTE(SUBSTITUTE(SUBSTITUTE(C61,".",""),",",""),";",""),":",""),"!",""),"?",""),"""",""),"'",""),"’",""),"“",""),"”",""))))</f>
        <v/>
      </c>
      <c r="N61" s="46">
        <f>IF($A61="","",SUBSTITUTE(SUBSTITUTE(LOWER(TRIM(SUBSTITUTE(SUBSTITUTE(SUBSTITUTE(SUBSTITUTE(SUBSTITUTE(SUBSTITUTE(SUBSTITUTE(SUBSTITUTE(SUBSTITUTE(SUBSTITUTE(SUBSTITUTE(D61,".",""),",",""),";",""),":",""),"!",""),"?",""),"""",""),"'",""),"’",""),"“",""),"”","")))," |","|"),"| ","|"))</f>
        <v/>
      </c>
      <c r="O61" s="46">
        <f>IF($A61="","",LOWER(TRIM(SUBSTITUTE(SUBSTITUTE(SUBSTITUTE(SUBSTITUTE(SUBSTITUTE(SUBSTITUTE(SUBSTITUTE(SUBSTITUTE(SUBSTITUTE(SUBSTITUTE(SUBSTITUTE(E61,".",""),",",""),";",""),":",""),"!",""),"?",""),"""",""),"'",""),"’",""),"“",""),"”",""))))</f>
        <v/>
      </c>
      <c r="P61" s="46">
        <f>IF($A61="","",LOWER(TRIM(SUBSTITUTE(SUBSTITUTE(SUBSTITUTE(SUBSTITUTE(SUBSTITUTE(SUBSTITUTE(SUBSTITUTE(SUBSTITUTE(SUBSTITUTE(SUBSTITUTE(SUBSTITUTE(F61,".",""),",",""),";",""),":",""),"!",""),"?",""),"""",""),"'",""),"’",""),"“",""),"”",""))))</f>
        <v/>
      </c>
      <c r="Q61" s="46">
        <f>IF($A61="","",LOWER(TRIM(SUBSTITUTE(SUBSTITUTE(SUBSTITUTE(SUBSTITUTE(SUBSTITUTE(SUBSTITUTE(SUBSTITUTE(SUBSTITUTE(SUBSTITUTE(SUBSTITUTE(SUBSTITUTE(G61,".",""),",",""),";",""),":",""),"!",""),"?",""),"""",""),"'",""),"’",""),"“",""),"”",""))))</f>
        <v/>
      </c>
      <c r="R61" s="46">
        <f>IF($A61="","",LEN(O61))</f>
        <v/>
      </c>
      <c r="S61" s="46">
        <f>IF($A61="","",IF(O61="",0,LEN(O61)-LEN(SUBSTITUTE(O61," ",""))+1))</f>
        <v/>
      </c>
      <c r="T61" s="46">
        <f>IF($A61="","",IF(AND(O61&lt;&gt;"",OR(O61=M61,AND(N61&lt;&gt;"",ISNUMBER(FIND("|"&amp;O61&amp;"|","|"&amp;N61&amp;"|"))))),1,0))</f>
        <v/>
      </c>
      <c r="U61" s="46">
        <f>IF($A61="","",IF(AND(Q61&lt;&gt;"",OR(Q61=M61,AND(N61&lt;&gt;"",ISNUMBER(FIND("|"&amp;Q61&amp;"|","|"&amp;N61&amp;"|"))))),1,0))</f>
        <v/>
      </c>
      <c r="V61" s="46">
        <f>IF($A61="","",IF(P61=O61,1,0))</f>
        <v/>
      </c>
      <c r="W61" s="46">
        <f>IF($A61="","",IF(Q61=O61,1,0))</f>
        <v/>
      </c>
      <c r="X61" s="46">
        <f>IF(OR($A61="",$H61=""),"",IF(AND($H61=1,T61=1),"TA",IF(AND($H61=0,T61=1),"FA",IF($H61=1,"FR","TR"))))</f>
        <v/>
      </c>
      <c r="Y61" s="46">
        <f>IF(OR($A61="",$H61=""),"",IF(AND($H61=1,U61=1),"TA",IF(AND($H61=0,U61=1),"FA",IF($H61=1,"FR","TR"))))</f>
        <v/>
      </c>
    </row>
    <row r="62" ht="15" customHeight="1" s="28">
      <c r="A62" s="54" t="n"/>
      <c r="B62" s="54" t="n"/>
      <c r="C62" s="54" t="n"/>
      <c r="D62" s="54" t="n"/>
      <c r="E62" s="54" t="n"/>
      <c r="F62" s="54" t="n"/>
      <c r="G62" s="54" t="n"/>
      <c r="H62" s="54" t="n"/>
      <c r="I62" s="54" t="n"/>
      <c r="J62" s="54" t="n"/>
      <c r="K62" s="54" t="n"/>
      <c r="L62" s="54" t="n"/>
      <c r="M62" s="46">
        <f>IF($A62="","",LOWER(TRIM(SUBSTITUTE(SUBSTITUTE(SUBSTITUTE(SUBSTITUTE(SUBSTITUTE(SUBSTITUTE(SUBSTITUTE(SUBSTITUTE(SUBSTITUTE(SUBSTITUTE(SUBSTITUTE(C62,".",""),",",""),";",""),":",""),"!",""),"?",""),"""",""),"'",""),"’",""),"“",""),"”",""))))</f>
        <v/>
      </c>
      <c r="N62" s="46">
        <f>IF($A62="","",SUBSTITUTE(SUBSTITUTE(LOWER(TRIM(SUBSTITUTE(SUBSTITUTE(SUBSTITUTE(SUBSTITUTE(SUBSTITUTE(SUBSTITUTE(SUBSTITUTE(SUBSTITUTE(SUBSTITUTE(SUBSTITUTE(SUBSTITUTE(D62,".",""),",",""),";",""),":",""),"!",""),"?",""),"""",""),"'",""),"’",""),"“",""),"”","")))," |","|"),"| ","|"))</f>
        <v/>
      </c>
      <c r="O62" s="46">
        <f>IF($A62="","",LOWER(TRIM(SUBSTITUTE(SUBSTITUTE(SUBSTITUTE(SUBSTITUTE(SUBSTITUTE(SUBSTITUTE(SUBSTITUTE(SUBSTITUTE(SUBSTITUTE(SUBSTITUTE(SUBSTITUTE(E62,".",""),",",""),";",""),":",""),"!",""),"?",""),"""",""),"'",""),"’",""),"“",""),"”",""))))</f>
        <v/>
      </c>
      <c r="P62" s="46">
        <f>IF($A62="","",LOWER(TRIM(SUBSTITUTE(SUBSTITUTE(SUBSTITUTE(SUBSTITUTE(SUBSTITUTE(SUBSTITUTE(SUBSTITUTE(SUBSTITUTE(SUBSTITUTE(SUBSTITUTE(SUBSTITUTE(F62,".",""),",",""),";",""),":",""),"!",""),"?",""),"""",""),"'",""),"’",""),"“",""),"”",""))))</f>
        <v/>
      </c>
      <c r="Q62" s="46">
        <f>IF($A62="","",LOWER(TRIM(SUBSTITUTE(SUBSTITUTE(SUBSTITUTE(SUBSTITUTE(SUBSTITUTE(SUBSTITUTE(SUBSTITUTE(SUBSTITUTE(SUBSTITUTE(SUBSTITUTE(SUBSTITUTE(G62,".",""),",",""),";",""),":",""),"!",""),"?",""),"""",""),"'",""),"’",""),"“",""),"”",""))))</f>
        <v/>
      </c>
      <c r="R62" s="46">
        <f>IF($A62="","",LEN(O62))</f>
        <v/>
      </c>
      <c r="S62" s="46">
        <f>IF($A62="","",IF(O62="",0,LEN(O62)-LEN(SUBSTITUTE(O62," ",""))+1))</f>
        <v/>
      </c>
      <c r="T62" s="46">
        <f>IF($A62="","",IF(AND(O62&lt;&gt;"",OR(O62=M62,AND(N62&lt;&gt;"",ISNUMBER(FIND("|"&amp;O62&amp;"|","|"&amp;N62&amp;"|"))))),1,0))</f>
        <v/>
      </c>
      <c r="U62" s="46">
        <f>IF($A62="","",IF(AND(Q62&lt;&gt;"",OR(Q62=M62,AND(N62&lt;&gt;"",ISNUMBER(FIND("|"&amp;Q62&amp;"|","|"&amp;N62&amp;"|"))))),1,0))</f>
        <v/>
      </c>
      <c r="V62" s="46">
        <f>IF($A62="","",IF(P62=O62,1,0))</f>
        <v/>
      </c>
      <c r="W62" s="46">
        <f>IF($A62="","",IF(Q62=O62,1,0))</f>
        <v/>
      </c>
      <c r="X62" s="46">
        <f>IF(OR($A62="",$H62=""),"",IF(AND($H62=1,T62=1),"TA",IF(AND($H62=0,T62=1),"FA",IF($H62=1,"FR","TR"))))</f>
        <v/>
      </c>
      <c r="Y62" s="46">
        <f>IF(OR($A62="",$H62=""),"",IF(AND($H62=1,U62=1),"TA",IF(AND($H62=0,U62=1),"FA",IF($H62=1,"FR","TR"))))</f>
        <v/>
      </c>
    </row>
    <row r="63" ht="15" customHeight="1" s="28">
      <c r="A63" s="54" t="n"/>
      <c r="B63" s="54" t="n"/>
      <c r="C63" s="54" t="n"/>
      <c r="D63" s="54" t="n"/>
      <c r="E63" s="54" t="n"/>
      <c r="F63" s="54" t="n"/>
      <c r="G63" s="54" t="n"/>
      <c r="H63" s="54" t="n"/>
      <c r="I63" s="54" t="n"/>
      <c r="J63" s="54" t="n"/>
      <c r="K63" s="54" t="n"/>
      <c r="L63" s="54" t="n"/>
      <c r="M63" s="46">
        <f>IF($A63="","",LOWER(TRIM(SUBSTITUTE(SUBSTITUTE(SUBSTITUTE(SUBSTITUTE(SUBSTITUTE(SUBSTITUTE(SUBSTITUTE(SUBSTITUTE(SUBSTITUTE(SUBSTITUTE(SUBSTITUTE(C63,".",""),",",""),";",""),":",""),"!",""),"?",""),"""",""),"'",""),"’",""),"“",""),"”",""))))</f>
        <v/>
      </c>
      <c r="N63" s="46">
        <f>IF($A63="","",SUBSTITUTE(SUBSTITUTE(LOWER(TRIM(SUBSTITUTE(SUBSTITUTE(SUBSTITUTE(SUBSTITUTE(SUBSTITUTE(SUBSTITUTE(SUBSTITUTE(SUBSTITUTE(SUBSTITUTE(SUBSTITUTE(SUBSTITUTE(D63,".",""),",",""),";",""),":",""),"!",""),"?",""),"""",""),"'",""),"’",""),"“",""),"”","")))," |","|"),"| ","|"))</f>
        <v/>
      </c>
      <c r="O63" s="46">
        <f>IF($A63="","",LOWER(TRIM(SUBSTITUTE(SUBSTITUTE(SUBSTITUTE(SUBSTITUTE(SUBSTITUTE(SUBSTITUTE(SUBSTITUTE(SUBSTITUTE(SUBSTITUTE(SUBSTITUTE(SUBSTITUTE(E63,".",""),",",""),";",""),":",""),"!",""),"?",""),"""",""),"'",""),"’",""),"“",""),"”",""))))</f>
        <v/>
      </c>
      <c r="P63" s="46">
        <f>IF($A63="","",LOWER(TRIM(SUBSTITUTE(SUBSTITUTE(SUBSTITUTE(SUBSTITUTE(SUBSTITUTE(SUBSTITUTE(SUBSTITUTE(SUBSTITUTE(SUBSTITUTE(SUBSTITUTE(SUBSTITUTE(F63,".",""),",",""),";",""),":",""),"!",""),"?",""),"""",""),"'",""),"’",""),"“",""),"”",""))))</f>
        <v/>
      </c>
      <c r="Q63" s="46">
        <f>IF($A63="","",LOWER(TRIM(SUBSTITUTE(SUBSTITUTE(SUBSTITUTE(SUBSTITUTE(SUBSTITUTE(SUBSTITUTE(SUBSTITUTE(SUBSTITUTE(SUBSTITUTE(SUBSTITUTE(SUBSTITUTE(G63,".",""),",",""),";",""),":",""),"!",""),"?",""),"""",""),"'",""),"’",""),"“",""),"”",""))))</f>
        <v/>
      </c>
      <c r="R63" s="46">
        <f>IF($A63="","",LEN(O63))</f>
        <v/>
      </c>
      <c r="S63" s="46">
        <f>IF($A63="","",IF(O63="",0,LEN(O63)-LEN(SUBSTITUTE(O63," ",""))+1))</f>
        <v/>
      </c>
      <c r="T63" s="46">
        <f>IF($A63="","",IF(AND(O63&lt;&gt;"",OR(O63=M63,AND(N63&lt;&gt;"",ISNUMBER(FIND("|"&amp;O63&amp;"|","|"&amp;N63&amp;"|"))))),1,0))</f>
        <v/>
      </c>
      <c r="U63" s="46">
        <f>IF($A63="","",IF(AND(Q63&lt;&gt;"",OR(Q63=M63,AND(N63&lt;&gt;"",ISNUMBER(FIND("|"&amp;Q63&amp;"|","|"&amp;N63&amp;"|"))))),1,0))</f>
        <v/>
      </c>
      <c r="V63" s="46">
        <f>IF($A63="","",IF(P63=O63,1,0))</f>
        <v/>
      </c>
      <c r="W63" s="46">
        <f>IF($A63="","",IF(Q63=O63,1,0))</f>
        <v/>
      </c>
      <c r="X63" s="46">
        <f>IF(OR($A63="",$H63=""),"",IF(AND($H63=1,T63=1),"TA",IF(AND($H63=0,T63=1),"FA",IF($H63=1,"FR","TR"))))</f>
        <v/>
      </c>
      <c r="Y63" s="46">
        <f>IF(OR($A63="",$H63=""),"",IF(AND($H63=1,U63=1),"TA",IF(AND($H63=0,U63=1),"FA",IF($H63=1,"FR","TR"))))</f>
        <v/>
      </c>
    </row>
    <row r="64" ht="15" customHeight="1" s="28">
      <c r="A64" s="54" t="n"/>
      <c r="B64" s="54" t="n"/>
      <c r="C64" s="54" t="n"/>
      <c r="D64" s="54" t="n"/>
      <c r="E64" s="54" t="n"/>
      <c r="F64" s="54" t="n"/>
      <c r="G64" s="54" t="n"/>
      <c r="H64" s="54" t="n"/>
      <c r="I64" s="54" t="n"/>
      <c r="J64" s="54" t="n"/>
      <c r="K64" s="54" t="n"/>
      <c r="L64" s="54" t="n"/>
      <c r="M64" s="46">
        <f>IF($A64="","",LOWER(TRIM(SUBSTITUTE(SUBSTITUTE(SUBSTITUTE(SUBSTITUTE(SUBSTITUTE(SUBSTITUTE(SUBSTITUTE(SUBSTITUTE(SUBSTITUTE(SUBSTITUTE(SUBSTITUTE(C64,".",""),",",""),";",""),":",""),"!",""),"?",""),"""",""),"'",""),"’",""),"“",""),"”",""))))</f>
        <v/>
      </c>
      <c r="N64" s="46">
        <f>IF($A64="","",SUBSTITUTE(SUBSTITUTE(LOWER(TRIM(SUBSTITUTE(SUBSTITUTE(SUBSTITUTE(SUBSTITUTE(SUBSTITUTE(SUBSTITUTE(SUBSTITUTE(SUBSTITUTE(SUBSTITUTE(SUBSTITUTE(SUBSTITUTE(D64,".",""),",",""),";",""),":",""),"!",""),"?",""),"""",""),"'",""),"’",""),"“",""),"”","")))," |","|"),"| ","|"))</f>
        <v/>
      </c>
      <c r="O64" s="46">
        <f>IF($A64="","",LOWER(TRIM(SUBSTITUTE(SUBSTITUTE(SUBSTITUTE(SUBSTITUTE(SUBSTITUTE(SUBSTITUTE(SUBSTITUTE(SUBSTITUTE(SUBSTITUTE(SUBSTITUTE(SUBSTITUTE(E64,".",""),",",""),";",""),":",""),"!",""),"?",""),"""",""),"'",""),"’",""),"“",""),"”",""))))</f>
        <v/>
      </c>
      <c r="P64" s="46">
        <f>IF($A64="","",LOWER(TRIM(SUBSTITUTE(SUBSTITUTE(SUBSTITUTE(SUBSTITUTE(SUBSTITUTE(SUBSTITUTE(SUBSTITUTE(SUBSTITUTE(SUBSTITUTE(SUBSTITUTE(SUBSTITUTE(F64,".",""),",",""),";",""),":",""),"!",""),"?",""),"""",""),"'",""),"’",""),"“",""),"”",""))))</f>
        <v/>
      </c>
      <c r="Q64" s="46">
        <f>IF($A64="","",LOWER(TRIM(SUBSTITUTE(SUBSTITUTE(SUBSTITUTE(SUBSTITUTE(SUBSTITUTE(SUBSTITUTE(SUBSTITUTE(SUBSTITUTE(SUBSTITUTE(SUBSTITUTE(SUBSTITUTE(G64,".",""),",",""),";",""),":",""),"!",""),"?",""),"""",""),"'",""),"’",""),"“",""),"”",""))))</f>
        <v/>
      </c>
      <c r="R64" s="46">
        <f>IF($A64="","",LEN(O64))</f>
        <v/>
      </c>
      <c r="S64" s="46">
        <f>IF($A64="","",IF(O64="",0,LEN(O64)-LEN(SUBSTITUTE(O64," ",""))+1))</f>
        <v/>
      </c>
      <c r="T64" s="46">
        <f>IF($A64="","",IF(AND(O64&lt;&gt;"",OR(O64=M64,AND(N64&lt;&gt;"",ISNUMBER(FIND("|"&amp;O64&amp;"|","|"&amp;N64&amp;"|"))))),1,0))</f>
        <v/>
      </c>
      <c r="U64" s="46">
        <f>IF($A64="","",IF(AND(Q64&lt;&gt;"",OR(Q64=M64,AND(N64&lt;&gt;"",ISNUMBER(FIND("|"&amp;Q64&amp;"|","|"&amp;N64&amp;"|"))))),1,0))</f>
        <v/>
      </c>
      <c r="V64" s="46">
        <f>IF($A64="","",IF(P64=O64,1,0))</f>
        <v/>
      </c>
      <c r="W64" s="46">
        <f>IF($A64="","",IF(Q64=O64,1,0))</f>
        <v/>
      </c>
      <c r="X64" s="46">
        <f>IF(OR($A64="",$H64=""),"",IF(AND($H64=1,T64=1),"TA",IF(AND($H64=0,T64=1),"FA",IF($H64=1,"FR","TR"))))</f>
        <v/>
      </c>
      <c r="Y64" s="46">
        <f>IF(OR($A64="",$H64=""),"",IF(AND($H64=1,U64=1),"TA",IF(AND($H64=0,U64=1),"FA",IF($H64=1,"FR","TR"))))</f>
        <v/>
      </c>
    </row>
    <row r="65" ht="15" customHeight="1" s="28">
      <c r="A65" s="54" t="n"/>
      <c r="B65" s="54" t="n"/>
      <c r="C65" s="54" t="n"/>
      <c r="D65" s="54" t="n"/>
      <c r="E65" s="54" t="n"/>
      <c r="F65" s="54" t="n"/>
      <c r="G65" s="54" t="n"/>
      <c r="H65" s="54" t="n"/>
      <c r="I65" s="54" t="n"/>
      <c r="J65" s="54" t="n"/>
      <c r="K65" s="54" t="n"/>
      <c r="L65" s="54" t="n"/>
      <c r="M65" s="46">
        <f>IF($A65="","",LOWER(TRIM(SUBSTITUTE(SUBSTITUTE(SUBSTITUTE(SUBSTITUTE(SUBSTITUTE(SUBSTITUTE(SUBSTITUTE(SUBSTITUTE(SUBSTITUTE(SUBSTITUTE(SUBSTITUTE(C65,".",""),",",""),";",""),":",""),"!",""),"?",""),"""",""),"'",""),"’",""),"“",""),"”",""))))</f>
        <v/>
      </c>
      <c r="N65" s="46">
        <f>IF($A65="","",SUBSTITUTE(SUBSTITUTE(LOWER(TRIM(SUBSTITUTE(SUBSTITUTE(SUBSTITUTE(SUBSTITUTE(SUBSTITUTE(SUBSTITUTE(SUBSTITUTE(SUBSTITUTE(SUBSTITUTE(SUBSTITUTE(SUBSTITUTE(D65,".",""),",",""),";",""),":",""),"!",""),"?",""),"""",""),"'",""),"’",""),"“",""),"”","")))," |","|"),"| ","|"))</f>
        <v/>
      </c>
      <c r="O65" s="46">
        <f>IF($A65="","",LOWER(TRIM(SUBSTITUTE(SUBSTITUTE(SUBSTITUTE(SUBSTITUTE(SUBSTITUTE(SUBSTITUTE(SUBSTITUTE(SUBSTITUTE(SUBSTITUTE(SUBSTITUTE(SUBSTITUTE(E65,".",""),",",""),";",""),":",""),"!",""),"?",""),"""",""),"'",""),"’",""),"“",""),"”",""))))</f>
        <v/>
      </c>
      <c r="P65" s="46">
        <f>IF($A65="","",LOWER(TRIM(SUBSTITUTE(SUBSTITUTE(SUBSTITUTE(SUBSTITUTE(SUBSTITUTE(SUBSTITUTE(SUBSTITUTE(SUBSTITUTE(SUBSTITUTE(SUBSTITUTE(SUBSTITUTE(F65,".",""),",",""),";",""),":",""),"!",""),"?",""),"""",""),"'",""),"’",""),"“",""),"”",""))))</f>
        <v/>
      </c>
      <c r="Q65" s="46">
        <f>IF($A65="","",LOWER(TRIM(SUBSTITUTE(SUBSTITUTE(SUBSTITUTE(SUBSTITUTE(SUBSTITUTE(SUBSTITUTE(SUBSTITUTE(SUBSTITUTE(SUBSTITUTE(SUBSTITUTE(SUBSTITUTE(G65,".",""),",",""),";",""),":",""),"!",""),"?",""),"""",""),"'",""),"’",""),"“",""),"”",""))))</f>
        <v/>
      </c>
      <c r="R65" s="46">
        <f>IF($A65="","",LEN(O65))</f>
        <v/>
      </c>
      <c r="S65" s="46">
        <f>IF($A65="","",IF(O65="",0,LEN(O65)-LEN(SUBSTITUTE(O65," ",""))+1))</f>
        <v/>
      </c>
      <c r="T65" s="46">
        <f>IF($A65="","",IF(AND(O65&lt;&gt;"",OR(O65=M65,AND(N65&lt;&gt;"",ISNUMBER(FIND("|"&amp;O65&amp;"|","|"&amp;N65&amp;"|"))))),1,0))</f>
        <v/>
      </c>
      <c r="U65" s="46">
        <f>IF($A65="","",IF(AND(Q65&lt;&gt;"",OR(Q65=M65,AND(N65&lt;&gt;"",ISNUMBER(FIND("|"&amp;Q65&amp;"|","|"&amp;N65&amp;"|"))))),1,0))</f>
        <v/>
      </c>
      <c r="V65" s="46">
        <f>IF($A65="","",IF(P65=O65,1,0))</f>
        <v/>
      </c>
      <c r="W65" s="46">
        <f>IF($A65="","",IF(Q65=O65,1,0))</f>
        <v/>
      </c>
      <c r="X65" s="46">
        <f>IF(OR($A65="",$H65=""),"",IF(AND($H65=1,T65=1),"TA",IF(AND($H65=0,T65=1),"FA",IF($H65=1,"FR","TR"))))</f>
        <v/>
      </c>
      <c r="Y65" s="46">
        <f>IF(OR($A65="",$H65=""),"",IF(AND($H65=1,U65=1),"TA",IF(AND($H65=0,U65=1),"FA",IF($H65=1,"FR","TR"))))</f>
        <v/>
      </c>
    </row>
    <row r="66" ht="15" customHeight="1" s="28">
      <c r="A66" s="54" t="n"/>
      <c r="B66" s="54" t="n"/>
      <c r="C66" s="54" t="n"/>
      <c r="D66" s="54" t="n"/>
      <c r="E66" s="54" t="n"/>
      <c r="F66" s="54" t="n"/>
      <c r="G66" s="54" t="n"/>
      <c r="H66" s="54" t="n"/>
      <c r="I66" s="54" t="n"/>
      <c r="J66" s="54" t="n"/>
      <c r="K66" s="54" t="n"/>
      <c r="L66" s="54" t="n"/>
      <c r="M66" s="46">
        <f>IF($A66="","",LOWER(TRIM(SUBSTITUTE(SUBSTITUTE(SUBSTITUTE(SUBSTITUTE(SUBSTITUTE(SUBSTITUTE(SUBSTITUTE(SUBSTITUTE(SUBSTITUTE(SUBSTITUTE(SUBSTITUTE(C66,".",""),",",""),";",""),":",""),"!",""),"?",""),"""",""),"'",""),"’",""),"“",""),"”",""))))</f>
        <v/>
      </c>
      <c r="N66" s="46">
        <f>IF($A66="","",SUBSTITUTE(SUBSTITUTE(LOWER(TRIM(SUBSTITUTE(SUBSTITUTE(SUBSTITUTE(SUBSTITUTE(SUBSTITUTE(SUBSTITUTE(SUBSTITUTE(SUBSTITUTE(SUBSTITUTE(SUBSTITUTE(SUBSTITUTE(D66,".",""),",",""),";",""),":",""),"!",""),"?",""),"""",""),"'",""),"’",""),"“",""),"”","")))," |","|"),"| ","|"))</f>
        <v/>
      </c>
      <c r="O66" s="46">
        <f>IF($A66="","",LOWER(TRIM(SUBSTITUTE(SUBSTITUTE(SUBSTITUTE(SUBSTITUTE(SUBSTITUTE(SUBSTITUTE(SUBSTITUTE(SUBSTITUTE(SUBSTITUTE(SUBSTITUTE(SUBSTITUTE(E66,".",""),",",""),";",""),":",""),"!",""),"?",""),"""",""),"'",""),"’",""),"“",""),"”",""))))</f>
        <v/>
      </c>
      <c r="P66" s="46">
        <f>IF($A66="","",LOWER(TRIM(SUBSTITUTE(SUBSTITUTE(SUBSTITUTE(SUBSTITUTE(SUBSTITUTE(SUBSTITUTE(SUBSTITUTE(SUBSTITUTE(SUBSTITUTE(SUBSTITUTE(SUBSTITUTE(F66,".",""),",",""),";",""),":",""),"!",""),"?",""),"""",""),"'",""),"’",""),"“",""),"”",""))))</f>
        <v/>
      </c>
      <c r="Q66" s="46">
        <f>IF($A66="","",LOWER(TRIM(SUBSTITUTE(SUBSTITUTE(SUBSTITUTE(SUBSTITUTE(SUBSTITUTE(SUBSTITUTE(SUBSTITUTE(SUBSTITUTE(SUBSTITUTE(SUBSTITUTE(SUBSTITUTE(G66,".",""),",",""),";",""),":",""),"!",""),"?",""),"""",""),"'",""),"’",""),"“",""),"”",""))))</f>
        <v/>
      </c>
      <c r="R66" s="46">
        <f>IF($A66="","",LEN(O66))</f>
        <v/>
      </c>
      <c r="S66" s="46">
        <f>IF($A66="","",IF(O66="",0,LEN(O66)-LEN(SUBSTITUTE(O66," ",""))+1))</f>
        <v/>
      </c>
      <c r="T66" s="46">
        <f>IF($A66="","",IF(AND(O66&lt;&gt;"",OR(O66=M66,AND(N66&lt;&gt;"",ISNUMBER(FIND("|"&amp;O66&amp;"|","|"&amp;N66&amp;"|"))))),1,0))</f>
        <v/>
      </c>
      <c r="U66" s="46">
        <f>IF($A66="","",IF(AND(Q66&lt;&gt;"",OR(Q66=M66,AND(N66&lt;&gt;"",ISNUMBER(FIND("|"&amp;Q66&amp;"|","|"&amp;N66&amp;"|"))))),1,0))</f>
        <v/>
      </c>
      <c r="V66" s="46">
        <f>IF($A66="","",IF(P66=O66,1,0))</f>
        <v/>
      </c>
      <c r="W66" s="46">
        <f>IF($A66="","",IF(Q66=O66,1,0))</f>
        <v/>
      </c>
      <c r="X66" s="46">
        <f>IF(OR($A66="",$H66=""),"",IF(AND($H66=1,T66=1),"TA",IF(AND($H66=0,T66=1),"FA",IF($H66=1,"FR","TR"))))</f>
        <v/>
      </c>
      <c r="Y66" s="46">
        <f>IF(OR($A66="",$H66=""),"",IF(AND($H66=1,U66=1),"TA",IF(AND($H66=0,U66=1),"FA",IF($H66=1,"FR","TR"))))</f>
        <v/>
      </c>
    </row>
    <row r="67" ht="15" customHeight="1" s="28">
      <c r="A67" s="54" t="n"/>
      <c r="B67" s="54" t="n"/>
      <c r="C67" s="54" t="n"/>
      <c r="D67" s="54" t="n"/>
      <c r="E67" s="54" t="n"/>
      <c r="F67" s="54" t="n"/>
      <c r="G67" s="54" t="n"/>
      <c r="H67" s="54" t="n"/>
      <c r="I67" s="54" t="n"/>
      <c r="J67" s="54" t="n"/>
      <c r="K67" s="54" t="n"/>
      <c r="L67" s="54" t="n"/>
      <c r="M67" s="46">
        <f>IF($A67="","",LOWER(TRIM(SUBSTITUTE(SUBSTITUTE(SUBSTITUTE(SUBSTITUTE(SUBSTITUTE(SUBSTITUTE(SUBSTITUTE(SUBSTITUTE(SUBSTITUTE(SUBSTITUTE(SUBSTITUTE(C67,".",""),",",""),";",""),":",""),"!",""),"?",""),"""",""),"'",""),"’",""),"“",""),"”",""))))</f>
        <v/>
      </c>
      <c r="N67" s="46">
        <f>IF($A67="","",SUBSTITUTE(SUBSTITUTE(LOWER(TRIM(SUBSTITUTE(SUBSTITUTE(SUBSTITUTE(SUBSTITUTE(SUBSTITUTE(SUBSTITUTE(SUBSTITUTE(SUBSTITUTE(SUBSTITUTE(SUBSTITUTE(SUBSTITUTE(D67,".",""),",",""),";",""),":",""),"!",""),"?",""),"""",""),"'",""),"’",""),"“",""),"”","")))," |","|"),"| ","|"))</f>
        <v/>
      </c>
      <c r="O67" s="46">
        <f>IF($A67="","",LOWER(TRIM(SUBSTITUTE(SUBSTITUTE(SUBSTITUTE(SUBSTITUTE(SUBSTITUTE(SUBSTITUTE(SUBSTITUTE(SUBSTITUTE(SUBSTITUTE(SUBSTITUTE(SUBSTITUTE(E67,".",""),",",""),";",""),":",""),"!",""),"?",""),"""",""),"'",""),"’",""),"“",""),"”",""))))</f>
        <v/>
      </c>
      <c r="P67" s="46">
        <f>IF($A67="","",LOWER(TRIM(SUBSTITUTE(SUBSTITUTE(SUBSTITUTE(SUBSTITUTE(SUBSTITUTE(SUBSTITUTE(SUBSTITUTE(SUBSTITUTE(SUBSTITUTE(SUBSTITUTE(SUBSTITUTE(F67,".",""),",",""),";",""),":",""),"!",""),"?",""),"""",""),"'",""),"’",""),"“",""),"”",""))))</f>
        <v/>
      </c>
      <c r="Q67" s="46">
        <f>IF($A67="","",LOWER(TRIM(SUBSTITUTE(SUBSTITUTE(SUBSTITUTE(SUBSTITUTE(SUBSTITUTE(SUBSTITUTE(SUBSTITUTE(SUBSTITUTE(SUBSTITUTE(SUBSTITUTE(SUBSTITUTE(G67,".",""),",",""),";",""),":",""),"!",""),"?",""),"""",""),"'",""),"’",""),"“",""),"”",""))))</f>
        <v/>
      </c>
      <c r="R67" s="46">
        <f>IF($A67="","",LEN(O67))</f>
        <v/>
      </c>
      <c r="S67" s="46">
        <f>IF($A67="","",IF(O67="",0,LEN(O67)-LEN(SUBSTITUTE(O67," ",""))+1))</f>
        <v/>
      </c>
      <c r="T67" s="46">
        <f>IF($A67="","",IF(AND(O67&lt;&gt;"",OR(O67=M67,AND(N67&lt;&gt;"",ISNUMBER(FIND("|"&amp;O67&amp;"|","|"&amp;N67&amp;"|"))))),1,0))</f>
        <v/>
      </c>
      <c r="U67" s="46">
        <f>IF($A67="","",IF(AND(Q67&lt;&gt;"",OR(Q67=M67,AND(N67&lt;&gt;"",ISNUMBER(FIND("|"&amp;Q67&amp;"|","|"&amp;N67&amp;"|"))))),1,0))</f>
        <v/>
      </c>
      <c r="V67" s="46">
        <f>IF($A67="","",IF(P67=O67,1,0))</f>
        <v/>
      </c>
      <c r="W67" s="46">
        <f>IF($A67="","",IF(Q67=O67,1,0))</f>
        <v/>
      </c>
      <c r="X67" s="46">
        <f>IF(OR($A67="",$H67=""),"",IF(AND($H67=1,T67=1),"TA",IF(AND($H67=0,T67=1),"FA",IF($H67=1,"FR","TR"))))</f>
        <v/>
      </c>
      <c r="Y67" s="46">
        <f>IF(OR($A67="",$H67=""),"",IF(AND($H67=1,U67=1),"TA",IF(AND($H67=0,U67=1),"FA",IF($H67=1,"FR","TR"))))</f>
        <v/>
      </c>
    </row>
    <row r="68" ht="15" customHeight="1" s="28">
      <c r="A68" s="54" t="n"/>
      <c r="B68" s="54" t="n"/>
      <c r="C68" s="54" t="n"/>
      <c r="D68" s="54" t="n"/>
      <c r="E68" s="54" t="n"/>
      <c r="F68" s="54" t="n"/>
      <c r="G68" s="54" t="n"/>
      <c r="H68" s="54" t="n"/>
      <c r="I68" s="54" t="n"/>
      <c r="J68" s="54" t="n"/>
      <c r="K68" s="54" t="n"/>
      <c r="L68" s="54" t="n"/>
      <c r="M68" s="46">
        <f>IF($A68="","",LOWER(TRIM(SUBSTITUTE(SUBSTITUTE(SUBSTITUTE(SUBSTITUTE(SUBSTITUTE(SUBSTITUTE(SUBSTITUTE(SUBSTITUTE(SUBSTITUTE(SUBSTITUTE(SUBSTITUTE(C68,".",""),",",""),";",""),":",""),"!",""),"?",""),"""",""),"'",""),"’",""),"“",""),"”",""))))</f>
        <v/>
      </c>
      <c r="N68" s="46">
        <f>IF($A68="","",SUBSTITUTE(SUBSTITUTE(LOWER(TRIM(SUBSTITUTE(SUBSTITUTE(SUBSTITUTE(SUBSTITUTE(SUBSTITUTE(SUBSTITUTE(SUBSTITUTE(SUBSTITUTE(SUBSTITUTE(SUBSTITUTE(SUBSTITUTE(D68,".",""),",",""),";",""),":",""),"!",""),"?",""),"""",""),"'",""),"’",""),"“",""),"”","")))," |","|"),"| ","|"))</f>
        <v/>
      </c>
      <c r="O68" s="46">
        <f>IF($A68="","",LOWER(TRIM(SUBSTITUTE(SUBSTITUTE(SUBSTITUTE(SUBSTITUTE(SUBSTITUTE(SUBSTITUTE(SUBSTITUTE(SUBSTITUTE(SUBSTITUTE(SUBSTITUTE(SUBSTITUTE(E68,".",""),",",""),";",""),":",""),"!",""),"?",""),"""",""),"'",""),"’",""),"“",""),"”",""))))</f>
        <v/>
      </c>
      <c r="P68" s="46">
        <f>IF($A68="","",LOWER(TRIM(SUBSTITUTE(SUBSTITUTE(SUBSTITUTE(SUBSTITUTE(SUBSTITUTE(SUBSTITUTE(SUBSTITUTE(SUBSTITUTE(SUBSTITUTE(SUBSTITUTE(SUBSTITUTE(F68,".",""),",",""),";",""),":",""),"!",""),"?",""),"""",""),"'",""),"’",""),"“",""),"”",""))))</f>
        <v/>
      </c>
      <c r="Q68" s="46">
        <f>IF($A68="","",LOWER(TRIM(SUBSTITUTE(SUBSTITUTE(SUBSTITUTE(SUBSTITUTE(SUBSTITUTE(SUBSTITUTE(SUBSTITUTE(SUBSTITUTE(SUBSTITUTE(SUBSTITUTE(SUBSTITUTE(G68,".",""),",",""),";",""),":",""),"!",""),"?",""),"""",""),"'",""),"’",""),"“",""),"”",""))))</f>
        <v/>
      </c>
      <c r="R68" s="46">
        <f>IF($A68="","",LEN(O68))</f>
        <v/>
      </c>
      <c r="S68" s="46">
        <f>IF($A68="","",IF(O68="",0,LEN(O68)-LEN(SUBSTITUTE(O68," ",""))+1))</f>
        <v/>
      </c>
      <c r="T68" s="46">
        <f>IF($A68="","",IF(AND(O68&lt;&gt;"",OR(O68=M68,AND(N68&lt;&gt;"",ISNUMBER(FIND("|"&amp;O68&amp;"|","|"&amp;N68&amp;"|"))))),1,0))</f>
        <v/>
      </c>
      <c r="U68" s="46">
        <f>IF($A68="","",IF(AND(Q68&lt;&gt;"",OR(Q68=M68,AND(N68&lt;&gt;"",ISNUMBER(FIND("|"&amp;Q68&amp;"|","|"&amp;N68&amp;"|"))))),1,0))</f>
        <v/>
      </c>
      <c r="V68" s="46">
        <f>IF($A68="","",IF(P68=O68,1,0))</f>
        <v/>
      </c>
      <c r="W68" s="46">
        <f>IF($A68="","",IF(Q68=O68,1,0))</f>
        <v/>
      </c>
      <c r="X68" s="46">
        <f>IF(OR($A68="",$H68=""),"",IF(AND($H68=1,T68=1),"TA",IF(AND($H68=0,T68=1),"FA",IF($H68=1,"FR","TR"))))</f>
        <v/>
      </c>
      <c r="Y68" s="46">
        <f>IF(OR($A68="",$H68=""),"",IF(AND($H68=1,U68=1),"TA",IF(AND($H68=0,U68=1),"FA",IF($H68=1,"FR","TR"))))</f>
        <v/>
      </c>
    </row>
    <row r="69" ht="15" customHeight="1" s="28">
      <c r="A69" s="54" t="n"/>
      <c r="B69" s="54" t="n"/>
      <c r="C69" s="54" t="n"/>
      <c r="D69" s="54" t="n"/>
      <c r="E69" s="54" t="n"/>
      <c r="F69" s="54" t="n"/>
      <c r="G69" s="54" t="n"/>
      <c r="H69" s="54" t="n"/>
      <c r="I69" s="54" t="n"/>
      <c r="J69" s="54" t="n"/>
      <c r="K69" s="54" t="n"/>
      <c r="L69" s="54" t="n"/>
      <c r="M69" s="46">
        <f>IF($A69="","",LOWER(TRIM(SUBSTITUTE(SUBSTITUTE(SUBSTITUTE(SUBSTITUTE(SUBSTITUTE(SUBSTITUTE(SUBSTITUTE(SUBSTITUTE(SUBSTITUTE(SUBSTITUTE(SUBSTITUTE(C69,".",""),",",""),";",""),":",""),"!",""),"?",""),"""",""),"'",""),"’",""),"“",""),"”",""))))</f>
        <v/>
      </c>
      <c r="N69" s="46">
        <f>IF($A69="","",SUBSTITUTE(SUBSTITUTE(LOWER(TRIM(SUBSTITUTE(SUBSTITUTE(SUBSTITUTE(SUBSTITUTE(SUBSTITUTE(SUBSTITUTE(SUBSTITUTE(SUBSTITUTE(SUBSTITUTE(SUBSTITUTE(SUBSTITUTE(D69,".",""),",",""),";",""),":",""),"!",""),"?",""),"""",""),"'",""),"’",""),"“",""),"”","")))," |","|"),"| ","|"))</f>
        <v/>
      </c>
      <c r="O69" s="46">
        <f>IF($A69="","",LOWER(TRIM(SUBSTITUTE(SUBSTITUTE(SUBSTITUTE(SUBSTITUTE(SUBSTITUTE(SUBSTITUTE(SUBSTITUTE(SUBSTITUTE(SUBSTITUTE(SUBSTITUTE(SUBSTITUTE(E69,".",""),",",""),";",""),":",""),"!",""),"?",""),"""",""),"'",""),"’",""),"“",""),"”",""))))</f>
        <v/>
      </c>
      <c r="P69" s="46">
        <f>IF($A69="","",LOWER(TRIM(SUBSTITUTE(SUBSTITUTE(SUBSTITUTE(SUBSTITUTE(SUBSTITUTE(SUBSTITUTE(SUBSTITUTE(SUBSTITUTE(SUBSTITUTE(SUBSTITUTE(SUBSTITUTE(F69,".",""),",",""),";",""),":",""),"!",""),"?",""),"""",""),"'",""),"’",""),"“",""),"”",""))))</f>
        <v/>
      </c>
      <c r="Q69" s="46">
        <f>IF($A69="","",LOWER(TRIM(SUBSTITUTE(SUBSTITUTE(SUBSTITUTE(SUBSTITUTE(SUBSTITUTE(SUBSTITUTE(SUBSTITUTE(SUBSTITUTE(SUBSTITUTE(SUBSTITUTE(SUBSTITUTE(G69,".",""),",",""),";",""),":",""),"!",""),"?",""),"""",""),"'",""),"’",""),"“",""),"”",""))))</f>
        <v/>
      </c>
      <c r="R69" s="46">
        <f>IF($A69="","",LEN(O69))</f>
        <v/>
      </c>
      <c r="S69" s="46">
        <f>IF($A69="","",IF(O69="",0,LEN(O69)-LEN(SUBSTITUTE(O69," ",""))+1))</f>
        <v/>
      </c>
      <c r="T69" s="46">
        <f>IF($A69="","",IF(AND(O69&lt;&gt;"",OR(O69=M69,AND(N69&lt;&gt;"",ISNUMBER(FIND("|"&amp;O69&amp;"|","|"&amp;N69&amp;"|"))))),1,0))</f>
        <v/>
      </c>
      <c r="U69" s="46">
        <f>IF($A69="","",IF(AND(Q69&lt;&gt;"",OR(Q69=M69,AND(N69&lt;&gt;"",ISNUMBER(FIND("|"&amp;Q69&amp;"|","|"&amp;N69&amp;"|"))))),1,0))</f>
        <v/>
      </c>
      <c r="V69" s="46">
        <f>IF($A69="","",IF(P69=O69,1,0))</f>
        <v/>
      </c>
      <c r="W69" s="46">
        <f>IF($A69="","",IF(Q69=O69,1,0))</f>
        <v/>
      </c>
      <c r="X69" s="46">
        <f>IF(OR($A69="",$H69=""),"",IF(AND($H69=1,T69=1),"TA",IF(AND($H69=0,T69=1),"FA",IF($H69=1,"FR","TR"))))</f>
        <v/>
      </c>
      <c r="Y69" s="46">
        <f>IF(OR($A69="",$H69=""),"",IF(AND($H69=1,U69=1),"TA",IF(AND($H69=0,U69=1),"FA",IF($H69=1,"FR","TR"))))</f>
        <v/>
      </c>
    </row>
    <row r="70" ht="15" customHeight="1" s="28">
      <c r="A70" s="54" t="n"/>
      <c r="B70" s="54" t="n"/>
      <c r="C70" s="54" t="n"/>
      <c r="D70" s="54" t="n"/>
      <c r="E70" s="54" t="n"/>
      <c r="F70" s="54" t="n"/>
      <c r="G70" s="54" t="n"/>
      <c r="H70" s="54" t="n"/>
      <c r="I70" s="54" t="n"/>
      <c r="J70" s="54" t="n"/>
      <c r="K70" s="54" t="n"/>
      <c r="L70" s="54" t="n"/>
      <c r="M70" s="46">
        <f>IF($A70="","",LOWER(TRIM(SUBSTITUTE(SUBSTITUTE(SUBSTITUTE(SUBSTITUTE(SUBSTITUTE(SUBSTITUTE(SUBSTITUTE(SUBSTITUTE(SUBSTITUTE(SUBSTITUTE(SUBSTITUTE(C70,".",""),",",""),";",""),":",""),"!",""),"?",""),"""",""),"'",""),"’",""),"“",""),"”",""))))</f>
        <v/>
      </c>
      <c r="N70" s="46">
        <f>IF($A70="","",SUBSTITUTE(SUBSTITUTE(LOWER(TRIM(SUBSTITUTE(SUBSTITUTE(SUBSTITUTE(SUBSTITUTE(SUBSTITUTE(SUBSTITUTE(SUBSTITUTE(SUBSTITUTE(SUBSTITUTE(SUBSTITUTE(SUBSTITUTE(D70,".",""),",",""),";",""),":",""),"!",""),"?",""),"""",""),"'",""),"’",""),"“",""),"”","")))," |","|"),"| ","|"))</f>
        <v/>
      </c>
      <c r="O70" s="46">
        <f>IF($A70="","",LOWER(TRIM(SUBSTITUTE(SUBSTITUTE(SUBSTITUTE(SUBSTITUTE(SUBSTITUTE(SUBSTITUTE(SUBSTITUTE(SUBSTITUTE(SUBSTITUTE(SUBSTITUTE(SUBSTITUTE(E70,".",""),",",""),";",""),":",""),"!",""),"?",""),"""",""),"'",""),"’",""),"“",""),"”",""))))</f>
        <v/>
      </c>
      <c r="P70" s="46">
        <f>IF($A70="","",LOWER(TRIM(SUBSTITUTE(SUBSTITUTE(SUBSTITUTE(SUBSTITUTE(SUBSTITUTE(SUBSTITUTE(SUBSTITUTE(SUBSTITUTE(SUBSTITUTE(SUBSTITUTE(SUBSTITUTE(F70,".",""),",",""),";",""),":",""),"!",""),"?",""),"""",""),"'",""),"’",""),"“",""),"”",""))))</f>
        <v/>
      </c>
      <c r="Q70" s="46">
        <f>IF($A70="","",LOWER(TRIM(SUBSTITUTE(SUBSTITUTE(SUBSTITUTE(SUBSTITUTE(SUBSTITUTE(SUBSTITUTE(SUBSTITUTE(SUBSTITUTE(SUBSTITUTE(SUBSTITUTE(SUBSTITUTE(G70,".",""),",",""),";",""),":",""),"!",""),"?",""),"""",""),"'",""),"’",""),"“",""),"”",""))))</f>
        <v/>
      </c>
      <c r="R70" s="46">
        <f>IF($A70="","",LEN(O70))</f>
        <v/>
      </c>
      <c r="S70" s="46">
        <f>IF($A70="","",IF(O70="",0,LEN(O70)-LEN(SUBSTITUTE(O70," ",""))+1))</f>
        <v/>
      </c>
      <c r="T70" s="46">
        <f>IF($A70="","",IF(AND(O70&lt;&gt;"",OR(O70=M70,AND(N70&lt;&gt;"",ISNUMBER(FIND("|"&amp;O70&amp;"|","|"&amp;N70&amp;"|"))))),1,0))</f>
        <v/>
      </c>
      <c r="U70" s="46">
        <f>IF($A70="","",IF(AND(Q70&lt;&gt;"",OR(Q70=M70,AND(N70&lt;&gt;"",ISNUMBER(FIND("|"&amp;Q70&amp;"|","|"&amp;N70&amp;"|"))))),1,0))</f>
        <v/>
      </c>
      <c r="V70" s="46">
        <f>IF($A70="","",IF(P70=O70,1,0))</f>
        <v/>
      </c>
      <c r="W70" s="46">
        <f>IF($A70="","",IF(Q70=O70,1,0))</f>
        <v/>
      </c>
      <c r="X70" s="46">
        <f>IF(OR($A70="",$H70=""),"",IF(AND($H70=1,T70=1),"TA",IF(AND($H70=0,T70=1),"FA",IF($H70=1,"FR","TR"))))</f>
        <v/>
      </c>
      <c r="Y70" s="46">
        <f>IF(OR($A70="",$H70=""),"",IF(AND($H70=1,U70=1),"TA",IF(AND($H70=0,U70=1),"FA",IF($H70=1,"FR","TR"))))</f>
        <v/>
      </c>
    </row>
    <row r="71" ht="15" customHeight="1" s="28">
      <c r="A71" s="54" t="n"/>
      <c r="B71" s="54" t="n"/>
      <c r="C71" s="54" t="n"/>
      <c r="D71" s="54" t="n"/>
      <c r="E71" s="54" t="n"/>
      <c r="F71" s="54" t="n"/>
      <c r="G71" s="54" t="n"/>
      <c r="H71" s="54" t="n"/>
      <c r="I71" s="54" t="n"/>
      <c r="J71" s="54" t="n"/>
      <c r="K71" s="54" t="n"/>
      <c r="L71" s="54" t="n"/>
      <c r="M71" s="46">
        <f>IF($A71="","",LOWER(TRIM(SUBSTITUTE(SUBSTITUTE(SUBSTITUTE(SUBSTITUTE(SUBSTITUTE(SUBSTITUTE(SUBSTITUTE(SUBSTITUTE(SUBSTITUTE(SUBSTITUTE(SUBSTITUTE(C71,".",""),",",""),";",""),":",""),"!",""),"?",""),"""",""),"'",""),"’",""),"“",""),"”",""))))</f>
        <v/>
      </c>
      <c r="N71" s="46">
        <f>IF($A71="","",SUBSTITUTE(SUBSTITUTE(LOWER(TRIM(SUBSTITUTE(SUBSTITUTE(SUBSTITUTE(SUBSTITUTE(SUBSTITUTE(SUBSTITUTE(SUBSTITUTE(SUBSTITUTE(SUBSTITUTE(SUBSTITUTE(SUBSTITUTE(D71,".",""),",",""),";",""),":",""),"!",""),"?",""),"""",""),"'",""),"’",""),"“",""),"”","")))," |","|"),"| ","|"))</f>
        <v/>
      </c>
      <c r="O71" s="46">
        <f>IF($A71="","",LOWER(TRIM(SUBSTITUTE(SUBSTITUTE(SUBSTITUTE(SUBSTITUTE(SUBSTITUTE(SUBSTITUTE(SUBSTITUTE(SUBSTITUTE(SUBSTITUTE(SUBSTITUTE(SUBSTITUTE(E71,".",""),",",""),";",""),":",""),"!",""),"?",""),"""",""),"'",""),"’",""),"“",""),"”",""))))</f>
        <v/>
      </c>
      <c r="P71" s="46">
        <f>IF($A71="","",LOWER(TRIM(SUBSTITUTE(SUBSTITUTE(SUBSTITUTE(SUBSTITUTE(SUBSTITUTE(SUBSTITUTE(SUBSTITUTE(SUBSTITUTE(SUBSTITUTE(SUBSTITUTE(SUBSTITUTE(F71,".",""),",",""),";",""),":",""),"!",""),"?",""),"""",""),"'",""),"’",""),"“",""),"”",""))))</f>
        <v/>
      </c>
      <c r="Q71" s="46">
        <f>IF($A71="","",LOWER(TRIM(SUBSTITUTE(SUBSTITUTE(SUBSTITUTE(SUBSTITUTE(SUBSTITUTE(SUBSTITUTE(SUBSTITUTE(SUBSTITUTE(SUBSTITUTE(SUBSTITUTE(SUBSTITUTE(G71,".",""),",",""),";",""),":",""),"!",""),"?",""),"""",""),"'",""),"’",""),"“",""),"”",""))))</f>
        <v/>
      </c>
      <c r="R71" s="46">
        <f>IF($A71="","",LEN(O71))</f>
        <v/>
      </c>
      <c r="S71" s="46">
        <f>IF($A71="","",IF(O71="",0,LEN(O71)-LEN(SUBSTITUTE(O71," ",""))+1))</f>
        <v/>
      </c>
      <c r="T71" s="46">
        <f>IF($A71="","",IF(AND(O71&lt;&gt;"",OR(O71=M71,AND(N71&lt;&gt;"",ISNUMBER(FIND("|"&amp;O71&amp;"|","|"&amp;N71&amp;"|"))))),1,0))</f>
        <v/>
      </c>
      <c r="U71" s="46">
        <f>IF($A71="","",IF(AND(Q71&lt;&gt;"",OR(Q71=M71,AND(N71&lt;&gt;"",ISNUMBER(FIND("|"&amp;Q71&amp;"|","|"&amp;N71&amp;"|"))))),1,0))</f>
        <v/>
      </c>
      <c r="V71" s="46">
        <f>IF($A71="","",IF(P71=O71,1,0))</f>
        <v/>
      </c>
      <c r="W71" s="46">
        <f>IF($A71="","",IF(Q71=O71,1,0))</f>
        <v/>
      </c>
      <c r="X71" s="46">
        <f>IF(OR($A71="",$H71=""),"",IF(AND($H71=1,T71=1),"TA",IF(AND($H71=0,T71=1),"FA",IF($H71=1,"FR","TR"))))</f>
        <v/>
      </c>
      <c r="Y71" s="46">
        <f>IF(OR($A71="",$H71=""),"",IF(AND($H71=1,U71=1),"TA",IF(AND($H71=0,U71=1),"FA",IF($H71=1,"FR","TR"))))</f>
        <v/>
      </c>
    </row>
    <row r="72" ht="15" customHeight="1" s="28">
      <c r="A72" s="54" t="n"/>
      <c r="B72" s="54" t="n"/>
      <c r="C72" s="54" t="n"/>
      <c r="D72" s="54" t="n"/>
      <c r="E72" s="54" t="n"/>
      <c r="F72" s="54" t="n"/>
      <c r="G72" s="54" t="n"/>
      <c r="H72" s="54" t="n"/>
      <c r="I72" s="54" t="n"/>
      <c r="J72" s="54" t="n"/>
      <c r="K72" s="54" t="n"/>
      <c r="L72" s="54" t="n"/>
      <c r="M72" s="46">
        <f>IF($A72="","",LOWER(TRIM(SUBSTITUTE(SUBSTITUTE(SUBSTITUTE(SUBSTITUTE(SUBSTITUTE(SUBSTITUTE(SUBSTITUTE(SUBSTITUTE(SUBSTITUTE(SUBSTITUTE(SUBSTITUTE(C72,".",""),",",""),";",""),":",""),"!",""),"?",""),"""",""),"'",""),"’",""),"“",""),"”",""))))</f>
        <v/>
      </c>
      <c r="N72" s="46">
        <f>IF($A72="","",SUBSTITUTE(SUBSTITUTE(LOWER(TRIM(SUBSTITUTE(SUBSTITUTE(SUBSTITUTE(SUBSTITUTE(SUBSTITUTE(SUBSTITUTE(SUBSTITUTE(SUBSTITUTE(SUBSTITUTE(SUBSTITUTE(SUBSTITUTE(D72,".",""),",",""),";",""),":",""),"!",""),"?",""),"""",""),"'",""),"’",""),"“",""),"”","")))," |","|"),"| ","|"))</f>
        <v/>
      </c>
      <c r="O72" s="46">
        <f>IF($A72="","",LOWER(TRIM(SUBSTITUTE(SUBSTITUTE(SUBSTITUTE(SUBSTITUTE(SUBSTITUTE(SUBSTITUTE(SUBSTITUTE(SUBSTITUTE(SUBSTITUTE(SUBSTITUTE(SUBSTITUTE(E72,".",""),",",""),";",""),":",""),"!",""),"?",""),"""",""),"'",""),"’",""),"“",""),"”",""))))</f>
        <v/>
      </c>
      <c r="P72" s="46">
        <f>IF($A72="","",LOWER(TRIM(SUBSTITUTE(SUBSTITUTE(SUBSTITUTE(SUBSTITUTE(SUBSTITUTE(SUBSTITUTE(SUBSTITUTE(SUBSTITUTE(SUBSTITUTE(SUBSTITUTE(SUBSTITUTE(F72,".",""),",",""),";",""),":",""),"!",""),"?",""),"""",""),"'",""),"’",""),"“",""),"”",""))))</f>
        <v/>
      </c>
      <c r="Q72" s="46">
        <f>IF($A72="","",LOWER(TRIM(SUBSTITUTE(SUBSTITUTE(SUBSTITUTE(SUBSTITUTE(SUBSTITUTE(SUBSTITUTE(SUBSTITUTE(SUBSTITUTE(SUBSTITUTE(SUBSTITUTE(SUBSTITUTE(G72,".",""),",",""),";",""),":",""),"!",""),"?",""),"""",""),"'",""),"’",""),"“",""),"”",""))))</f>
        <v/>
      </c>
      <c r="R72" s="46">
        <f>IF($A72="","",LEN(O72))</f>
        <v/>
      </c>
      <c r="S72" s="46">
        <f>IF($A72="","",IF(O72="",0,LEN(O72)-LEN(SUBSTITUTE(O72," ",""))+1))</f>
        <v/>
      </c>
      <c r="T72" s="46">
        <f>IF($A72="","",IF(AND(O72&lt;&gt;"",OR(O72=M72,AND(N72&lt;&gt;"",ISNUMBER(FIND("|"&amp;O72&amp;"|","|"&amp;N72&amp;"|"))))),1,0))</f>
        <v/>
      </c>
      <c r="U72" s="46">
        <f>IF($A72="","",IF(AND(Q72&lt;&gt;"",OR(Q72=M72,AND(N72&lt;&gt;"",ISNUMBER(FIND("|"&amp;Q72&amp;"|","|"&amp;N72&amp;"|"))))),1,0))</f>
        <v/>
      </c>
      <c r="V72" s="46">
        <f>IF($A72="","",IF(P72=O72,1,0))</f>
        <v/>
      </c>
      <c r="W72" s="46">
        <f>IF($A72="","",IF(Q72=O72,1,0))</f>
        <v/>
      </c>
      <c r="X72" s="46">
        <f>IF(OR($A72="",$H72=""),"",IF(AND($H72=1,T72=1),"TA",IF(AND($H72=0,T72=1),"FA",IF($H72=1,"FR","TR"))))</f>
        <v/>
      </c>
      <c r="Y72" s="46">
        <f>IF(OR($A72="",$H72=""),"",IF(AND($H72=1,U72=1),"TA",IF(AND($H72=0,U72=1),"FA",IF($H72=1,"FR","TR"))))</f>
        <v/>
      </c>
    </row>
    <row r="73" ht="15" customHeight="1" s="28">
      <c r="A73" s="54" t="n"/>
      <c r="B73" s="54" t="n"/>
      <c r="C73" s="54" t="n"/>
      <c r="D73" s="54" t="n"/>
      <c r="E73" s="54" t="n"/>
      <c r="F73" s="54" t="n"/>
      <c r="G73" s="54" t="n"/>
      <c r="H73" s="54" t="n"/>
      <c r="I73" s="54" t="n"/>
      <c r="J73" s="54" t="n"/>
      <c r="K73" s="54" t="n"/>
      <c r="L73" s="54" t="n"/>
      <c r="M73" s="46">
        <f>IF($A73="","",LOWER(TRIM(SUBSTITUTE(SUBSTITUTE(SUBSTITUTE(SUBSTITUTE(SUBSTITUTE(SUBSTITUTE(SUBSTITUTE(SUBSTITUTE(SUBSTITUTE(SUBSTITUTE(SUBSTITUTE(C73,".",""),",",""),";",""),":",""),"!",""),"?",""),"""",""),"'",""),"’",""),"“",""),"”",""))))</f>
        <v/>
      </c>
      <c r="N73" s="46">
        <f>IF($A73="","",SUBSTITUTE(SUBSTITUTE(LOWER(TRIM(SUBSTITUTE(SUBSTITUTE(SUBSTITUTE(SUBSTITUTE(SUBSTITUTE(SUBSTITUTE(SUBSTITUTE(SUBSTITUTE(SUBSTITUTE(SUBSTITUTE(SUBSTITUTE(D73,".",""),",",""),";",""),":",""),"!",""),"?",""),"""",""),"'",""),"’",""),"“",""),"”","")))," |","|"),"| ","|"))</f>
        <v/>
      </c>
      <c r="O73" s="46">
        <f>IF($A73="","",LOWER(TRIM(SUBSTITUTE(SUBSTITUTE(SUBSTITUTE(SUBSTITUTE(SUBSTITUTE(SUBSTITUTE(SUBSTITUTE(SUBSTITUTE(SUBSTITUTE(SUBSTITUTE(SUBSTITUTE(E73,".",""),",",""),";",""),":",""),"!",""),"?",""),"""",""),"'",""),"’",""),"“",""),"”",""))))</f>
        <v/>
      </c>
      <c r="P73" s="46">
        <f>IF($A73="","",LOWER(TRIM(SUBSTITUTE(SUBSTITUTE(SUBSTITUTE(SUBSTITUTE(SUBSTITUTE(SUBSTITUTE(SUBSTITUTE(SUBSTITUTE(SUBSTITUTE(SUBSTITUTE(SUBSTITUTE(F73,".",""),",",""),";",""),":",""),"!",""),"?",""),"""",""),"'",""),"’",""),"“",""),"”",""))))</f>
        <v/>
      </c>
      <c r="Q73" s="46">
        <f>IF($A73="","",LOWER(TRIM(SUBSTITUTE(SUBSTITUTE(SUBSTITUTE(SUBSTITUTE(SUBSTITUTE(SUBSTITUTE(SUBSTITUTE(SUBSTITUTE(SUBSTITUTE(SUBSTITUTE(SUBSTITUTE(G73,".",""),",",""),";",""),":",""),"!",""),"?",""),"""",""),"'",""),"’",""),"“",""),"”",""))))</f>
        <v/>
      </c>
      <c r="R73" s="46">
        <f>IF($A73="","",LEN(O73))</f>
        <v/>
      </c>
      <c r="S73" s="46">
        <f>IF($A73="","",IF(O73="",0,LEN(O73)-LEN(SUBSTITUTE(O73," ",""))+1))</f>
        <v/>
      </c>
      <c r="T73" s="46">
        <f>IF($A73="","",IF(AND(O73&lt;&gt;"",OR(O73=M73,AND(N73&lt;&gt;"",ISNUMBER(FIND("|"&amp;O73&amp;"|","|"&amp;N73&amp;"|"))))),1,0))</f>
        <v/>
      </c>
      <c r="U73" s="46">
        <f>IF($A73="","",IF(AND(Q73&lt;&gt;"",OR(Q73=M73,AND(N73&lt;&gt;"",ISNUMBER(FIND("|"&amp;Q73&amp;"|","|"&amp;N73&amp;"|"))))),1,0))</f>
        <v/>
      </c>
      <c r="V73" s="46">
        <f>IF($A73="","",IF(P73=O73,1,0))</f>
        <v/>
      </c>
      <c r="W73" s="46">
        <f>IF($A73="","",IF(Q73=O73,1,0))</f>
        <v/>
      </c>
      <c r="X73" s="46">
        <f>IF(OR($A73="",$H73=""),"",IF(AND($H73=1,T73=1),"TA",IF(AND($H73=0,T73=1),"FA",IF($H73=1,"FR","TR"))))</f>
        <v/>
      </c>
      <c r="Y73" s="46">
        <f>IF(OR($A73="",$H73=""),"",IF(AND($H73=1,U73=1),"TA",IF(AND($H73=0,U73=1),"FA",IF($H73=1,"FR","TR"))))</f>
        <v/>
      </c>
    </row>
    <row r="74" ht="15" customHeight="1" s="28">
      <c r="A74" s="54" t="n"/>
      <c r="B74" s="54" t="n"/>
      <c r="C74" s="54" t="n"/>
      <c r="D74" s="54" t="n"/>
      <c r="E74" s="54" t="n"/>
      <c r="F74" s="54" t="n"/>
      <c r="G74" s="54" t="n"/>
      <c r="H74" s="54" t="n"/>
      <c r="I74" s="54" t="n"/>
      <c r="J74" s="54" t="n"/>
      <c r="K74" s="54" t="n"/>
      <c r="L74" s="54" t="n"/>
      <c r="M74" s="46">
        <f>IF($A74="","",LOWER(TRIM(SUBSTITUTE(SUBSTITUTE(SUBSTITUTE(SUBSTITUTE(SUBSTITUTE(SUBSTITUTE(SUBSTITUTE(SUBSTITUTE(SUBSTITUTE(SUBSTITUTE(SUBSTITUTE(C74,".",""),",",""),";",""),":",""),"!",""),"?",""),"""",""),"'",""),"’",""),"“",""),"”",""))))</f>
        <v/>
      </c>
      <c r="N74" s="46">
        <f>IF($A74="","",SUBSTITUTE(SUBSTITUTE(LOWER(TRIM(SUBSTITUTE(SUBSTITUTE(SUBSTITUTE(SUBSTITUTE(SUBSTITUTE(SUBSTITUTE(SUBSTITUTE(SUBSTITUTE(SUBSTITUTE(SUBSTITUTE(SUBSTITUTE(D74,".",""),",",""),";",""),":",""),"!",""),"?",""),"""",""),"'",""),"’",""),"“",""),"”","")))," |","|"),"| ","|"))</f>
        <v/>
      </c>
      <c r="O74" s="46">
        <f>IF($A74="","",LOWER(TRIM(SUBSTITUTE(SUBSTITUTE(SUBSTITUTE(SUBSTITUTE(SUBSTITUTE(SUBSTITUTE(SUBSTITUTE(SUBSTITUTE(SUBSTITUTE(SUBSTITUTE(SUBSTITUTE(E74,".",""),",",""),";",""),":",""),"!",""),"?",""),"""",""),"'",""),"’",""),"“",""),"”",""))))</f>
        <v/>
      </c>
      <c r="P74" s="46">
        <f>IF($A74="","",LOWER(TRIM(SUBSTITUTE(SUBSTITUTE(SUBSTITUTE(SUBSTITUTE(SUBSTITUTE(SUBSTITUTE(SUBSTITUTE(SUBSTITUTE(SUBSTITUTE(SUBSTITUTE(SUBSTITUTE(F74,".",""),",",""),";",""),":",""),"!",""),"?",""),"""",""),"'",""),"’",""),"“",""),"”",""))))</f>
        <v/>
      </c>
      <c r="Q74" s="46">
        <f>IF($A74="","",LOWER(TRIM(SUBSTITUTE(SUBSTITUTE(SUBSTITUTE(SUBSTITUTE(SUBSTITUTE(SUBSTITUTE(SUBSTITUTE(SUBSTITUTE(SUBSTITUTE(SUBSTITUTE(SUBSTITUTE(G74,".",""),",",""),";",""),":",""),"!",""),"?",""),"""",""),"'",""),"’",""),"“",""),"”",""))))</f>
        <v/>
      </c>
      <c r="R74" s="46">
        <f>IF($A74="","",LEN(O74))</f>
        <v/>
      </c>
      <c r="S74" s="46">
        <f>IF($A74="","",IF(O74="",0,LEN(O74)-LEN(SUBSTITUTE(O74," ",""))+1))</f>
        <v/>
      </c>
      <c r="T74" s="46">
        <f>IF($A74="","",IF(AND(O74&lt;&gt;"",OR(O74=M74,AND(N74&lt;&gt;"",ISNUMBER(FIND("|"&amp;O74&amp;"|","|"&amp;N74&amp;"|"))))),1,0))</f>
        <v/>
      </c>
      <c r="U74" s="46">
        <f>IF($A74="","",IF(AND(Q74&lt;&gt;"",OR(Q74=M74,AND(N74&lt;&gt;"",ISNUMBER(FIND("|"&amp;Q74&amp;"|","|"&amp;N74&amp;"|"))))),1,0))</f>
        <v/>
      </c>
      <c r="V74" s="46">
        <f>IF($A74="","",IF(P74=O74,1,0))</f>
        <v/>
      </c>
      <c r="W74" s="46">
        <f>IF($A74="","",IF(Q74=O74,1,0))</f>
        <v/>
      </c>
      <c r="X74" s="46">
        <f>IF(OR($A74="",$H74=""),"",IF(AND($H74=1,T74=1),"TA",IF(AND($H74=0,T74=1),"FA",IF($H74=1,"FR","TR"))))</f>
        <v/>
      </c>
      <c r="Y74" s="46">
        <f>IF(OR($A74="",$H74=""),"",IF(AND($H74=1,U74=1),"TA",IF(AND($H74=0,U74=1),"FA",IF($H74=1,"FR","TR"))))</f>
        <v/>
      </c>
    </row>
    <row r="75" ht="15" customHeight="1" s="28">
      <c r="A75" s="54" t="n"/>
      <c r="B75" s="54" t="n"/>
      <c r="C75" s="54" t="n"/>
      <c r="D75" s="54" t="n"/>
      <c r="E75" s="54" t="n"/>
      <c r="F75" s="54" t="n"/>
      <c r="G75" s="54" t="n"/>
      <c r="H75" s="54" t="n"/>
      <c r="I75" s="54" t="n"/>
      <c r="J75" s="54" t="n"/>
      <c r="K75" s="54" t="n"/>
      <c r="L75" s="54" t="n"/>
      <c r="M75" s="46">
        <f>IF($A75="","",LOWER(TRIM(SUBSTITUTE(SUBSTITUTE(SUBSTITUTE(SUBSTITUTE(SUBSTITUTE(SUBSTITUTE(SUBSTITUTE(SUBSTITUTE(SUBSTITUTE(SUBSTITUTE(SUBSTITUTE(C75,".",""),",",""),";",""),":",""),"!",""),"?",""),"""",""),"'",""),"’",""),"“",""),"”",""))))</f>
        <v/>
      </c>
      <c r="N75" s="46">
        <f>IF($A75="","",SUBSTITUTE(SUBSTITUTE(LOWER(TRIM(SUBSTITUTE(SUBSTITUTE(SUBSTITUTE(SUBSTITUTE(SUBSTITUTE(SUBSTITUTE(SUBSTITUTE(SUBSTITUTE(SUBSTITUTE(SUBSTITUTE(SUBSTITUTE(D75,".",""),",",""),";",""),":",""),"!",""),"?",""),"""",""),"'",""),"’",""),"“",""),"”","")))," |","|"),"| ","|"))</f>
        <v/>
      </c>
      <c r="O75" s="46">
        <f>IF($A75="","",LOWER(TRIM(SUBSTITUTE(SUBSTITUTE(SUBSTITUTE(SUBSTITUTE(SUBSTITUTE(SUBSTITUTE(SUBSTITUTE(SUBSTITUTE(SUBSTITUTE(SUBSTITUTE(SUBSTITUTE(E75,".",""),",",""),";",""),":",""),"!",""),"?",""),"""",""),"'",""),"’",""),"“",""),"”",""))))</f>
        <v/>
      </c>
      <c r="P75" s="46">
        <f>IF($A75="","",LOWER(TRIM(SUBSTITUTE(SUBSTITUTE(SUBSTITUTE(SUBSTITUTE(SUBSTITUTE(SUBSTITUTE(SUBSTITUTE(SUBSTITUTE(SUBSTITUTE(SUBSTITUTE(SUBSTITUTE(F75,".",""),",",""),";",""),":",""),"!",""),"?",""),"""",""),"'",""),"’",""),"“",""),"”",""))))</f>
        <v/>
      </c>
      <c r="Q75" s="46">
        <f>IF($A75="","",LOWER(TRIM(SUBSTITUTE(SUBSTITUTE(SUBSTITUTE(SUBSTITUTE(SUBSTITUTE(SUBSTITUTE(SUBSTITUTE(SUBSTITUTE(SUBSTITUTE(SUBSTITUTE(SUBSTITUTE(G75,".",""),",",""),";",""),":",""),"!",""),"?",""),"""",""),"'",""),"’",""),"“",""),"”",""))))</f>
        <v/>
      </c>
      <c r="R75" s="46">
        <f>IF($A75="","",LEN(O75))</f>
        <v/>
      </c>
      <c r="S75" s="46">
        <f>IF($A75="","",IF(O75="",0,LEN(O75)-LEN(SUBSTITUTE(O75," ",""))+1))</f>
        <v/>
      </c>
      <c r="T75" s="46">
        <f>IF($A75="","",IF(AND(O75&lt;&gt;"",OR(O75=M75,AND(N75&lt;&gt;"",ISNUMBER(FIND("|"&amp;O75&amp;"|","|"&amp;N75&amp;"|"))))),1,0))</f>
        <v/>
      </c>
      <c r="U75" s="46">
        <f>IF($A75="","",IF(AND(Q75&lt;&gt;"",OR(Q75=M75,AND(N75&lt;&gt;"",ISNUMBER(FIND("|"&amp;Q75&amp;"|","|"&amp;N75&amp;"|"))))),1,0))</f>
        <v/>
      </c>
      <c r="V75" s="46">
        <f>IF($A75="","",IF(P75=O75,1,0))</f>
        <v/>
      </c>
      <c r="W75" s="46">
        <f>IF($A75="","",IF(Q75=O75,1,0))</f>
        <v/>
      </c>
      <c r="X75" s="46">
        <f>IF(OR($A75="",$H75=""),"",IF(AND($H75=1,T75=1),"TA",IF(AND($H75=0,T75=1),"FA",IF($H75=1,"FR","TR"))))</f>
        <v/>
      </c>
      <c r="Y75" s="46">
        <f>IF(OR($A75="",$H75=""),"",IF(AND($H75=1,U75=1),"TA",IF(AND($H75=0,U75=1),"FA",IF($H75=1,"FR","TR"))))</f>
        <v/>
      </c>
    </row>
    <row r="76" ht="15" customHeight="1" s="28">
      <c r="A76" s="54" t="n"/>
      <c r="B76" s="54" t="n"/>
      <c r="C76" s="54" t="n"/>
      <c r="D76" s="54" t="n"/>
      <c r="E76" s="54" t="n"/>
      <c r="F76" s="54" t="n"/>
      <c r="G76" s="54" t="n"/>
      <c r="H76" s="54" t="n"/>
      <c r="I76" s="54" t="n"/>
      <c r="J76" s="54" t="n"/>
      <c r="K76" s="54" t="n"/>
      <c r="L76" s="54" t="n"/>
      <c r="M76" s="46">
        <f>IF($A76="","",LOWER(TRIM(SUBSTITUTE(SUBSTITUTE(SUBSTITUTE(SUBSTITUTE(SUBSTITUTE(SUBSTITUTE(SUBSTITUTE(SUBSTITUTE(SUBSTITUTE(SUBSTITUTE(SUBSTITUTE(C76,".",""),",",""),";",""),":",""),"!",""),"?",""),"""",""),"'",""),"’",""),"“",""),"”",""))))</f>
        <v/>
      </c>
      <c r="N76" s="46">
        <f>IF($A76="","",SUBSTITUTE(SUBSTITUTE(LOWER(TRIM(SUBSTITUTE(SUBSTITUTE(SUBSTITUTE(SUBSTITUTE(SUBSTITUTE(SUBSTITUTE(SUBSTITUTE(SUBSTITUTE(SUBSTITUTE(SUBSTITUTE(SUBSTITUTE(D76,".",""),",",""),";",""),":",""),"!",""),"?",""),"""",""),"'",""),"’",""),"“",""),"”","")))," |","|"),"| ","|"))</f>
        <v/>
      </c>
      <c r="O76" s="46">
        <f>IF($A76="","",LOWER(TRIM(SUBSTITUTE(SUBSTITUTE(SUBSTITUTE(SUBSTITUTE(SUBSTITUTE(SUBSTITUTE(SUBSTITUTE(SUBSTITUTE(SUBSTITUTE(SUBSTITUTE(SUBSTITUTE(E76,".",""),",",""),";",""),":",""),"!",""),"?",""),"""",""),"'",""),"’",""),"“",""),"”",""))))</f>
        <v/>
      </c>
      <c r="P76" s="46">
        <f>IF($A76="","",LOWER(TRIM(SUBSTITUTE(SUBSTITUTE(SUBSTITUTE(SUBSTITUTE(SUBSTITUTE(SUBSTITUTE(SUBSTITUTE(SUBSTITUTE(SUBSTITUTE(SUBSTITUTE(SUBSTITUTE(F76,".",""),",",""),";",""),":",""),"!",""),"?",""),"""",""),"'",""),"’",""),"“",""),"”",""))))</f>
        <v/>
      </c>
      <c r="Q76" s="46">
        <f>IF($A76="","",LOWER(TRIM(SUBSTITUTE(SUBSTITUTE(SUBSTITUTE(SUBSTITUTE(SUBSTITUTE(SUBSTITUTE(SUBSTITUTE(SUBSTITUTE(SUBSTITUTE(SUBSTITUTE(SUBSTITUTE(G76,".",""),",",""),";",""),":",""),"!",""),"?",""),"""",""),"'",""),"’",""),"“",""),"”",""))))</f>
        <v/>
      </c>
      <c r="R76" s="46">
        <f>IF($A76="","",LEN(O76))</f>
        <v/>
      </c>
      <c r="S76" s="46">
        <f>IF($A76="","",IF(O76="",0,LEN(O76)-LEN(SUBSTITUTE(O76," ",""))+1))</f>
        <v/>
      </c>
      <c r="T76" s="46">
        <f>IF($A76="","",IF(AND(O76&lt;&gt;"",OR(O76=M76,AND(N76&lt;&gt;"",ISNUMBER(FIND("|"&amp;O76&amp;"|","|"&amp;N76&amp;"|"))))),1,0))</f>
        <v/>
      </c>
      <c r="U76" s="46">
        <f>IF($A76="","",IF(AND(Q76&lt;&gt;"",OR(Q76=M76,AND(N76&lt;&gt;"",ISNUMBER(FIND("|"&amp;Q76&amp;"|","|"&amp;N76&amp;"|"))))),1,0))</f>
        <v/>
      </c>
      <c r="V76" s="46">
        <f>IF($A76="","",IF(P76=O76,1,0))</f>
        <v/>
      </c>
      <c r="W76" s="46">
        <f>IF($A76="","",IF(Q76=O76,1,0))</f>
        <v/>
      </c>
      <c r="X76" s="46">
        <f>IF(OR($A76="",$H76=""),"",IF(AND($H76=1,T76=1),"TA",IF(AND($H76=0,T76=1),"FA",IF($H76=1,"FR","TR"))))</f>
        <v/>
      </c>
      <c r="Y76" s="46">
        <f>IF(OR($A76="",$H76=""),"",IF(AND($H76=1,U76=1),"TA",IF(AND($H76=0,U76=1),"FA",IF($H76=1,"FR","TR"))))</f>
        <v/>
      </c>
    </row>
    <row r="77" ht="15" customHeight="1" s="28">
      <c r="A77" s="54" t="n"/>
      <c r="B77" s="54" t="n"/>
      <c r="C77" s="54" t="n"/>
      <c r="D77" s="54" t="n"/>
      <c r="E77" s="54" t="n"/>
      <c r="F77" s="54" t="n"/>
      <c r="G77" s="54" t="n"/>
      <c r="H77" s="54" t="n"/>
      <c r="I77" s="54" t="n"/>
      <c r="J77" s="54" t="n"/>
      <c r="K77" s="54" t="n"/>
      <c r="L77" s="54" t="n"/>
      <c r="M77" s="46">
        <f>IF($A77="","",LOWER(TRIM(SUBSTITUTE(SUBSTITUTE(SUBSTITUTE(SUBSTITUTE(SUBSTITUTE(SUBSTITUTE(SUBSTITUTE(SUBSTITUTE(SUBSTITUTE(SUBSTITUTE(SUBSTITUTE(C77,".",""),",",""),";",""),":",""),"!",""),"?",""),"""",""),"'",""),"’",""),"“",""),"”",""))))</f>
        <v/>
      </c>
      <c r="N77" s="46">
        <f>IF($A77="","",SUBSTITUTE(SUBSTITUTE(LOWER(TRIM(SUBSTITUTE(SUBSTITUTE(SUBSTITUTE(SUBSTITUTE(SUBSTITUTE(SUBSTITUTE(SUBSTITUTE(SUBSTITUTE(SUBSTITUTE(SUBSTITUTE(SUBSTITUTE(D77,".",""),",",""),";",""),":",""),"!",""),"?",""),"""",""),"'",""),"’",""),"“",""),"”","")))," |","|"),"| ","|"))</f>
        <v/>
      </c>
      <c r="O77" s="46">
        <f>IF($A77="","",LOWER(TRIM(SUBSTITUTE(SUBSTITUTE(SUBSTITUTE(SUBSTITUTE(SUBSTITUTE(SUBSTITUTE(SUBSTITUTE(SUBSTITUTE(SUBSTITUTE(SUBSTITUTE(SUBSTITUTE(E77,".",""),",",""),";",""),":",""),"!",""),"?",""),"""",""),"'",""),"’",""),"“",""),"”",""))))</f>
        <v/>
      </c>
      <c r="P77" s="46">
        <f>IF($A77="","",LOWER(TRIM(SUBSTITUTE(SUBSTITUTE(SUBSTITUTE(SUBSTITUTE(SUBSTITUTE(SUBSTITUTE(SUBSTITUTE(SUBSTITUTE(SUBSTITUTE(SUBSTITUTE(SUBSTITUTE(F77,".",""),",",""),";",""),":",""),"!",""),"?",""),"""",""),"'",""),"’",""),"“",""),"”",""))))</f>
        <v/>
      </c>
      <c r="Q77" s="46">
        <f>IF($A77="","",LOWER(TRIM(SUBSTITUTE(SUBSTITUTE(SUBSTITUTE(SUBSTITUTE(SUBSTITUTE(SUBSTITUTE(SUBSTITUTE(SUBSTITUTE(SUBSTITUTE(SUBSTITUTE(SUBSTITUTE(G77,".",""),",",""),";",""),":",""),"!",""),"?",""),"""",""),"'",""),"’",""),"“",""),"”",""))))</f>
        <v/>
      </c>
      <c r="R77" s="46">
        <f>IF($A77="","",LEN(O77))</f>
        <v/>
      </c>
      <c r="S77" s="46">
        <f>IF($A77="","",IF(O77="",0,LEN(O77)-LEN(SUBSTITUTE(O77," ",""))+1))</f>
        <v/>
      </c>
      <c r="T77" s="46">
        <f>IF($A77="","",IF(AND(O77&lt;&gt;"",OR(O77=M77,AND(N77&lt;&gt;"",ISNUMBER(FIND("|"&amp;O77&amp;"|","|"&amp;N77&amp;"|"))))),1,0))</f>
        <v/>
      </c>
      <c r="U77" s="46">
        <f>IF($A77="","",IF(AND(Q77&lt;&gt;"",OR(Q77=M77,AND(N77&lt;&gt;"",ISNUMBER(FIND("|"&amp;Q77&amp;"|","|"&amp;N77&amp;"|"))))),1,0))</f>
        <v/>
      </c>
      <c r="V77" s="46">
        <f>IF($A77="","",IF(P77=O77,1,0))</f>
        <v/>
      </c>
      <c r="W77" s="46">
        <f>IF($A77="","",IF(Q77=O77,1,0))</f>
        <v/>
      </c>
      <c r="X77" s="46">
        <f>IF(OR($A77="",$H77=""),"",IF(AND($H77=1,T77=1),"TA",IF(AND($H77=0,T77=1),"FA",IF($H77=1,"FR","TR"))))</f>
        <v/>
      </c>
      <c r="Y77" s="46">
        <f>IF(OR($A77="",$H77=""),"",IF(AND($H77=1,U77=1),"TA",IF(AND($H77=0,U77=1),"FA",IF($H77=1,"FR","TR"))))</f>
        <v/>
      </c>
    </row>
    <row r="78" ht="15" customHeight="1" s="28">
      <c r="A78" s="54" t="n"/>
      <c r="B78" s="54" t="n"/>
      <c r="C78" s="54" t="n"/>
      <c r="D78" s="54" t="n"/>
      <c r="E78" s="54" t="n"/>
      <c r="F78" s="54" t="n"/>
      <c r="G78" s="54" t="n"/>
      <c r="H78" s="54" t="n"/>
      <c r="I78" s="54" t="n"/>
      <c r="J78" s="54" t="n"/>
      <c r="K78" s="54" t="n"/>
      <c r="L78" s="54" t="n"/>
      <c r="M78" s="46">
        <f>IF($A78="","",LOWER(TRIM(SUBSTITUTE(SUBSTITUTE(SUBSTITUTE(SUBSTITUTE(SUBSTITUTE(SUBSTITUTE(SUBSTITUTE(SUBSTITUTE(SUBSTITUTE(SUBSTITUTE(SUBSTITUTE(C78,".",""),",",""),";",""),":",""),"!",""),"?",""),"""",""),"'",""),"’",""),"“",""),"”",""))))</f>
        <v/>
      </c>
      <c r="N78" s="46">
        <f>IF($A78="","",SUBSTITUTE(SUBSTITUTE(LOWER(TRIM(SUBSTITUTE(SUBSTITUTE(SUBSTITUTE(SUBSTITUTE(SUBSTITUTE(SUBSTITUTE(SUBSTITUTE(SUBSTITUTE(SUBSTITUTE(SUBSTITUTE(SUBSTITUTE(D78,".",""),",",""),";",""),":",""),"!",""),"?",""),"""",""),"'",""),"’",""),"“",""),"”","")))," |","|"),"| ","|"))</f>
        <v/>
      </c>
      <c r="O78" s="46">
        <f>IF($A78="","",LOWER(TRIM(SUBSTITUTE(SUBSTITUTE(SUBSTITUTE(SUBSTITUTE(SUBSTITUTE(SUBSTITUTE(SUBSTITUTE(SUBSTITUTE(SUBSTITUTE(SUBSTITUTE(SUBSTITUTE(E78,".",""),",",""),";",""),":",""),"!",""),"?",""),"""",""),"'",""),"’",""),"“",""),"”",""))))</f>
        <v/>
      </c>
      <c r="P78" s="46">
        <f>IF($A78="","",LOWER(TRIM(SUBSTITUTE(SUBSTITUTE(SUBSTITUTE(SUBSTITUTE(SUBSTITUTE(SUBSTITUTE(SUBSTITUTE(SUBSTITUTE(SUBSTITUTE(SUBSTITUTE(SUBSTITUTE(F78,".",""),",",""),";",""),":",""),"!",""),"?",""),"""",""),"'",""),"’",""),"“",""),"”",""))))</f>
        <v/>
      </c>
      <c r="Q78" s="46">
        <f>IF($A78="","",LOWER(TRIM(SUBSTITUTE(SUBSTITUTE(SUBSTITUTE(SUBSTITUTE(SUBSTITUTE(SUBSTITUTE(SUBSTITUTE(SUBSTITUTE(SUBSTITUTE(SUBSTITUTE(SUBSTITUTE(G78,".",""),",",""),";",""),":",""),"!",""),"?",""),"""",""),"'",""),"’",""),"“",""),"”",""))))</f>
        <v/>
      </c>
      <c r="R78" s="46">
        <f>IF($A78="","",LEN(O78))</f>
        <v/>
      </c>
      <c r="S78" s="46">
        <f>IF($A78="","",IF(O78="",0,LEN(O78)-LEN(SUBSTITUTE(O78," ",""))+1))</f>
        <v/>
      </c>
      <c r="T78" s="46">
        <f>IF($A78="","",IF(AND(O78&lt;&gt;"",OR(O78=M78,AND(N78&lt;&gt;"",ISNUMBER(FIND("|"&amp;O78&amp;"|","|"&amp;N78&amp;"|"))))),1,0))</f>
        <v/>
      </c>
      <c r="U78" s="46">
        <f>IF($A78="","",IF(AND(Q78&lt;&gt;"",OR(Q78=M78,AND(N78&lt;&gt;"",ISNUMBER(FIND("|"&amp;Q78&amp;"|","|"&amp;N78&amp;"|"))))),1,0))</f>
        <v/>
      </c>
      <c r="V78" s="46">
        <f>IF($A78="","",IF(P78=O78,1,0))</f>
        <v/>
      </c>
      <c r="W78" s="46">
        <f>IF($A78="","",IF(Q78=O78,1,0))</f>
        <v/>
      </c>
      <c r="X78" s="46">
        <f>IF(OR($A78="",$H78=""),"",IF(AND($H78=1,T78=1),"TA",IF(AND($H78=0,T78=1),"FA",IF($H78=1,"FR","TR"))))</f>
        <v/>
      </c>
      <c r="Y78" s="46">
        <f>IF(OR($A78="",$H78=""),"",IF(AND($H78=1,U78=1),"TA",IF(AND($H78=0,U78=1),"FA",IF($H78=1,"FR","TR"))))</f>
        <v/>
      </c>
    </row>
    <row r="79" ht="15" customHeight="1" s="28">
      <c r="A79" s="54" t="n"/>
      <c r="B79" s="54" t="n"/>
      <c r="C79" s="54" t="n"/>
      <c r="D79" s="54" t="n"/>
      <c r="E79" s="54" t="n"/>
      <c r="F79" s="54" t="n"/>
      <c r="G79" s="54" t="n"/>
      <c r="H79" s="54" t="n"/>
      <c r="I79" s="54" t="n"/>
      <c r="J79" s="54" t="n"/>
      <c r="K79" s="54" t="n"/>
      <c r="L79" s="54" t="n"/>
      <c r="M79" s="46">
        <f>IF($A79="","",LOWER(TRIM(SUBSTITUTE(SUBSTITUTE(SUBSTITUTE(SUBSTITUTE(SUBSTITUTE(SUBSTITUTE(SUBSTITUTE(SUBSTITUTE(SUBSTITUTE(SUBSTITUTE(SUBSTITUTE(C79,".",""),",",""),";",""),":",""),"!",""),"?",""),"""",""),"'",""),"’",""),"“",""),"”",""))))</f>
        <v/>
      </c>
      <c r="N79" s="46">
        <f>IF($A79="","",SUBSTITUTE(SUBSTITUTE(LOWER(TRIM(SUBSTITUTE(SUBSTITUTE(SUBSTITUTE(SUBSTITUTE(SUBSTITUTE(SUBSTITUTE(SUBSTITUTE(SUBSTITUTE(SUBSTITUTE(SUBSTITUTE(SUBSTITUTE(D79,".",""),",",""),";",""),":",""),"!",""),"?",""),"""",""),"'",""),"’",""),"“",""),"”","")))," |","|"),"| ","|"))</f>
        <v/>
      </c>
      <c r="O79" s="46">
        <f>IF($A79="","",LOWER(TRIM(SUBSTITUTE(SUBSTITUTE(SUBSTITUTE(SUBSTITUTE(SUBSTITUTE(SUBSTITUTE(SUBSTITUTE(SUBSTITUTE(SUBSTITUTE(SUBSTITUTE(SUBSTITUTE(E79,".",""),",",""),";",""),":",""),"!",""),"?",""),"""",""),"'",""),"’",""),"“",""),"”",""))))</f>
        <v/>
      </c>
      <c r="P79" s="46">
        <f>IF($A79="","",LOWER(TRIM(SUBSTITUTE(SUBSTITUTE(SUBSTITUTE(SUBSTITUTE(SUBSTITUTE(SUBSTITUTE(SUBSTITUTE(SUBSTITUTE(SUBSTITUTE(SUBSTITUTE(SUBSTITUTE(F79,".",""),",",""),";",""),":",""),"!",""),"?",""),"""",""),"'",""),"’",""),"“",""),"”",""))))</f>
        <v/>
      </c>
      <c r="Q79" s="46">
        <f>IF($A79="","",LOWER(TRIM(SUBSTITUTE(SUBSTITUTE(SUBSTITUTE(SUBSTITUTE(SUBSTITUTE(SUBSTITUTE(SUBSTITUTE(SUBSTITUTE(SUBSTITUTE(SUBSTITUTE(SUBSTITUTE(G79,".",""),",",""),";",""),":",""),"!",""),"?",""),"""",""),"'",""),"’",""),"“",""),"”",""))))</f>
        <v/>
      </c>
      <c r="R79" s="46">
        <f>IF($A79="","",LEN(O79))</f>
        <v/>
      </c>
      <c r="S79" s="46">
        <f>IF($A79="","",IF(O79="",0,LEN(O79)-LEN(SUBSTITUTE(O79," ",""))+1))</f>
        <v/>
      </c>
      <c r="T79" s="46">
        <f>IF($A79="","",IF(AND(O79&lt;&gt;"",OR(O79=M79,AND(N79&lt;&gt;"",ISNUMBER(FIND("|"&amp;O79&amp;"|","|"&amp;N79&amp;"|"))))),1,0))</f>
        <v/>
      </c>
      <c r="U79" s="46">
        <f>IF($A79="","",IF(AND(Q79&lt;&gt;"",OR(Q79=M79,AND(N79&lt;&gt;"",ISNUMBER(FIND("|"&amp;Q79&amp;"|","|"&amp;N79&amp;"|"))))),1,0))</f>
        <v/>
      </c>
      <c r="V79" s="46">
        <f>IF($A79="","",IF(P79=O79,1,0))</f>
        <v/>
      </c>
      <c r="W79" s="46">
        <f>IF($A79="","",IF(Q79=O79,1,0))</f>
        <v/>
      </c>
      <c r="X79" s="46">
        <f>IF(OR($A79="",$H79=""),"",IF(AND($H79=1,T79=1),"TA",IF(AND($H79=0,T79=1),"FA",IF($H79=1,"FR","TR"))))</f>
        <v/>
      </c>
      <c r="Y79" s="46">
        <f>IF(OR($A79="",$H79=""),"",IF(AND($H79=1,U79=1),"TA",IF(AND($H79=0,U79=1),"FA",IF($H79=1,"FR","TR"))))</f>
        <v/>
      </c>
    </row>
    <row r="80" ht="15" customHeight="1" s="28">
      <c r="A80" s="54" t="n"/>
      <c r="B80" s="54" t="n"/>
      <c r="C80" s="54" t="n"/>
      <c r="D80" s="54" t="n"/>
      <c r="E80" s="54" t="n"/>
      <c r="F80" s="54" t="n"/>
      <c r="G80" s="54" t="n"/>
      <c r="H80" s="54" t="n"/>
      <c r="I80" s="54" t="n"/>
      <c r="J80" s="54" t="n"/>
      <c r="K80" s="54" t="n"/>
      <c r="L80" s="54" t="n"/>
      <c r="M80" s="46">
        <f>IF($A80="","",LOWER(TRIM(SUBSTITUTE(SUBSTITUTE(SUBSTITUTE(SUBSTITUTE(SUBSTITUTE(SUBSTITUTE(SUBSTITUTE(SUBSTITUTE(SUBSTITUTE(SUBSTITUTE(SUBSTITUTE(C80,".",""),",",""),";",""),":",""),"!",""),"?",""),"""",""),"'",""),"’",""),"“",""),"”",""))))</f>
        <v/>
      </c>
      <c r="N80" s="46">
        <f>IF($A80="","",SUBSTITUTE(SUBSTITUTE(LOWER(TRIM(SUBSTITUTE(SUBSTITUTE(SUBSTITUTE(SUBSTITUTE(SUBSTITUTE(SUBSTITUTE(SUBSTITUTE(SUBSTITUTE(SUBSTITUTE(SUBSTITUTE(SUBSTITUTE(D80,".",""),",",""),";",""),":",""),"!",""),"?",""),"""",""),"'",""),"’",""),"“",""),"”","")))," |","|"),"| ","|"))</f>
        <v/>
      </c>
      <c r="O80" s="46">
        <f>IF($A80="","",LOWER(TRIM(SUBSTITUTE(SUBSTITUTE(SUBSTITUTE(SUBSTITUTE(SUBSTITUTE(SUBSTITUTE(SUBSTITUTE(SUBSTITUTE(SUBSTITUTE(SUBSTITUTE(SUBSTITUTE(E80,".",""),",",""),";",""),":",""),"!",""),"?",""),"""",""),"'",""),"’",""),"“",""),"”",""))))</f>
        <v/>
      </c>
      <c r="P80" s="46">
        <f>IF($A80="","",LOWER(TRIM(SUBSTITUTE(SUBSTITUTE(SUBSTITUTE(SUBSTITUTE(SUBSTITUTE(SUBSTITUTE(SUBSTITUTE(SUBSTITUTE(SUBSTITUTE(SUBSTITUTE(SUBSTITUTE(F80,".",""),",",""),";",""),":",""),"!",""),"?",""),"""",""),"'",""),"’",""),"“",""),"”",""))))</f>
        <v/>
      </c>
      <c r="Q80" s="46">
        <f>IF($A80="","",LOWER(TRIM(SUBSTITUTE(SUBSTITUTE(SUBSTITUTE(SUBSTITUTE(SUBSTITUTE(SUBSTITUTE(SUBSTITUTE(SUBSTITUTE(SUBSTITUTE(SUBSTITUTE(SUBSTITUTE(G80,".",""),",",""),";",""),":",""),"!",""),"?",""),"""",""),"'",""),"’",""),"“",""),"”",""))))</f>
        <v/>
      </c>
      <c r="R80" s="46">
        <f>IF($A80="","",LEN(O80))</f>
        <v/>
      </c>
      <c r="S80" s="46">
        <f>IF($A80="","",IF(O80="",0,LEN(O80)-LEN(SUBSTITUTE(O80," ",""))+1))</f>
        <v/>
      </c>
      <c r="T80" s="46">
        <f>IF($A80="","",IF(AND(O80&lt;&gt;"",OR(O80=M80,AND(N80&lt;&gt;"",ISNUMBER(FIND("|"&amp;O80&amp;"|","|"&amp;N80&amp;"|"))))),1,0))</f>
        <v/>
      </c>
      <c r="U80" s="46">
        <f>IF($A80="","",IF(AND(Q80&lt;&gt;"",OR(Q80=M80,AND(N80&lt;&gt;"",ISNUMBER(FIND("|"&amp;Q80&amp;"|","|"&amp;N80&amp;"|"))))),1,0))</f>
        <v/>
      </c>
      <c r="V80" s="46">
        <f>IF($A80="","",IF(P80=O80,1,0))</f>
        <v/>
      </c>
      <c r="W80" s="46">
        <f>IF($A80="","",IF(Q80=O80,1,0))</f>
        <v/>
      </c>
      <c r="X80" s="46">
        <f>IF(OR($A80="",$H80=""),"",IF(AND($H80=1,T80=1),"TA",IF(AND($H80=0,T80=1),"FA",IF($H80=1,"FR","TR"))))</f>
        <v/>
      </c>
      <c r="Y80" s="46">
        <f>IF(OR($A80="",$H80=""),"",IF(AND($H80=1,U80=1),"TA",IF(AND($H80=0,U80=1),"FA",IF($H80=1,"FR","TR"))))</f>
        <v/>
      </c>
    </row>
    <row r="81" ht="15" customHeight="1" s="28">
      <c r="A81" s="54" t="n"/>
      <c r="B81" s="54" t="n"/>
      <c r="C81" s="54" t="n"/>
      <c r="D81" s="54" t="n"/>
      <c r="E81" s="54" t="n"/>
      <c r="F81" s="54" t="n"/>
      <c r="G81" s="54" t="n"/>
      <c r="H81" s="54" t="n"/>
      <c r="I81" s="54" t="n"/>
      <c r="J81" s="54" t="n"/>
      <c r="K81" s="54" t="n"/>
      <c r="L81" s="54" t="n"/>
      <c r="M81" s="46">
        <f>IF($A81="","",LOWER(TRIM(SUBSTITUTE(SUBSTITUTE(SUBSTITUTE(SUBSTITUTE(SUBSTITUTE(SUBSTITUTE(SUBSTITUTE(SUBSTITUTE(SUBSTITUTE(SUBSTITUTE(SUBSTITUTE(C81,".",""),",",""),";",""),":",""),"!",""),"?",""),"""",""),"'",""),"’",""),"“",""),"”",""))))</f>
        <v/>
      </c>
      <c r="N81" s="46">
        <f>IF($A81="","",SUBSTITUTE(SUBSTITUTE(LOWER(TRIM(SUBSTITUTE(SUBSTITUTE(SUBSTITUTE(SUBSTITUTE(SUBSTITUTE(SUBSTITUTE(SUBSTITUTE(SUBSTITUTE(SUBSTITUTE(SUBSTITUTE(SUBSTITUTE(D81,".",""),",",""),";",""),":",""),"!",""),"?",""),"""",""),"'",""),"’",""),"“",""),"”","")))," |","|"),"| ","|"))</f>
        <v/>
      </c>
      <c r="O81" s="46">
        <f>IF($A81="","",LOWER(TRIM(SUBSTITUTE(SUBSTITUTE(SUBSTITUTE(SUBSTITUTE(SUBSTITUTE(SUBSTITUTE(SUBSTITUTE(SUBSTITUTE(SUBSTITUTE(SUBSTITUTE(SUBSTITUTE(E81,".",""),",",""),";",""),":",""),"!",""),"?",""),"""",""),"'",""),"’",""),"“",""),"”",""))))</f>
        <v/>
      </c>
      <c r="P81" s="46">
        <f>IF($A81="","",LOWER(TRIM(SUBSTITUTE(SUBSTITUTE(SUBSTITUTE(SUBSTITUTE(SUBSTITUTE(SUBSTITUTE(SUBSTITUTE(SUBSTITUTE(SUBSTITUTE(SUBSTITUTE(SUBSTITUTE(F81,".",""),",",""),";",""),":",""),"!",""),"?",""),"""",""),"'",""),"’",""),"“",""),"”",""))))</f>
        <v/>
      </c>
      <c r="Q81" s="46">
        <f>IF($A81="","",LOWER(TRIM(SUBSTITUTE(SUBSTITUTE(SUBSTITUTE(SUBSTITUTE(SUBSTITUTE(SUBSTITUTE(SUBSTITUTE(SUBSTITUTE(SUBSTITUTE(SUBSTITUTE(SUBSTITUTE(G81,".",""),",",""),";",""),":",""),"!",""),"?",""),"""",""),"'",""),"’",""),"“",""),"”",""))))</f>
        <v/>
      </c>
      <c r="R81" s="46">
        <f>IF($A81="","",LEN(O81))</f>
        <v/>
      </c>
      <c r="S81" s="46">
        <f>IF($A81="","",IF(O81="",0,LEN(O81)-LEN(SUBSTITUTE(O81," ",""))+1))</f>
        <v/>
      </c>
      <c r="T81" s="46">
        <f>IF($A81="","",IF(AND(O81&lt;&gt;"",OR(O81=M81,AND(N81&lt;&gt;"",ISNUMBER(FIND("|"&amp;O81&amp;"|","|"&amp;N81&amp;"|"))))),1,0))</f>
        <v/>
      </c>
      <c r="U81" s="46">
        <f>IF($A81="","",IF(AND(Q81&lt;&gt;"",OR(Q81=M81,AND(N81&lt;&gt;"",ISNUMBER(FIND("|"&amp;Q81&amp;"|","|"&amp;N81&amp;"|"))))),1,0))</f>
        <v/>
      </c>
      <c r="V81" s="46">
        <f>IF($A81="","",IF(P81=O81,1,0))</f>
        <v/>
      </c>
      <c r="W81" s="46">
        <f>IF($A81="","",IF(Q81=O81,1,0))</f>
        <v/>
      </c>
      <c r="X81" s="46">
        <f>IF(OR($A81="",$H81=""),"",IF(AND($H81=1,T81=1),"TA",IF(AND($H81=0,T81=1),"FA",IF($H81=1,"FR","TR"))))</f>
        <v/>
      </c>
      <c r="Y81" s="46">
        <f>IF(OR($A81="",$H81=""),"",IF(AND($H81=1,U81=1),"TA",IF(AND($H81=0,U81=1),"FA",IF($H81=1,"FR","TR"))))</f>
        <v/>
      </c>
    </row>
    <row r="82" ht="15" customHeight="1" s="28">
      <c r="A82" s="54" t="n"/>
      <c r="B82" s="54" t="n"/>
      <c r="C82" s="54" t="n"/>
      <c r="D82" s="54" t="n"/>
      <c r="E82" s="54" t="n"/>
      <c r="F82" s="54" t="n"/>
      <c r="G82" s="54" t="n"/>
      <c r="H82" s="54" t="n"/>
      <c r="I82" s="54" t="n"/>
      <c r="J82" s="54" t="n"/>
      <c r="K82" s="54" t="n"/>
      <c r="L82" s="54" t="n"/>
      <c r="M82" s="46">
        <f>IF($A82="","",LOWER(TRIM(SUBSTITUTE(SUBSTITUTE(SUBSTITUTE(SUBSTITUTE(SUBSTITUTE(SUBSTITUTE(SUBSTITUTE(SUBSTITUTE(SUBSTITUTE(SUBSTITUTE(SUBSTITUTE(C82,".",""),",",""),";",""),":",""),"!",""),"?",""),"""",""),"'",""),"’",""),"“",""),"”",""))))</f>
        <v/>
      </c>
      <c r="N82" s="46">
        <f>IF($A82="","",SUBSTITUTE(SUBSTITUTE(LOWER(TRIM(SUBSTITUTE(SUBSTITUTE(SUBSTITUTE(SUBSTITUTE(SUBSTITUTE(SUBSTITUTE(SUBSTITUTE(SUBSTITUTE(SUBSTITUTE(SUBSTITUTE(SUBSTITUTE(D82,".",""),",",""),";",""),":",""),"!",""),"?",""),"""",""),"'",""),"’",""),"“",""),"”","")))," |","|"),"| ","|"))</f>
        <v/>
      </c>
      <c r="O82" s="46">
        <f>IF($A82="","",LOWER(TRIM(SUBSTITUTE(SUBSTITUTE(SUBSTITUTE(SUBSTITUTE(SUBSTITUTE(SUBSTITUTE(SUBSTITUTE(SUBSTITUTE(SUBSTITUTE(SUBSTITUTE(SUBSTITUTE(E82,".",""),",",""),";",""),":",""),"!",""),"?",""),"""",""),"'",""),"’",""),"“",""),"”",""))))</f>
        <v/>
      </c>
      <c r="P82" s="46">
        <f>IF($A82="","",LOWER(TRIM(SUBSTITUTE(SUBSTITUTE(SUBSTITUTE(SUBSTITUTE(SUBSTITUTE(SUBSTITUTE(SUBSTITUTE(SUBSTITUTE(SUBSTITUTE(SUBSTITUTE(SUBSTITUTE(F82,".",""),",",""),";",""),":",""),"!",""),"?",""),"""",""),"'",""),"’",""),"“",""),"”",""))))</f>
        <v/>
      </c>
      <c r="Q82" s="46">
        <f>IF($A82="","",LOWER(TRIM(SUBSTITUTE(SUBSTITUTE(SUBSTITUTE(SUBSTITUTE(SUBSTITUTE(SUBSTITUTE(SUBSTITUTE(SUBSTITUTE(SUBSTITUTE(SUBSTITUTE(SUBSTITUTE(G82,".",""),",",""),";",""),":",""),"!",""),"?",""),"""",""),"'",""),"’",""),"“",""),"”",""))))</f>
        <v/>
      </c>
      <c r="R82" s="46">
        <f>IF($A82="","",LEN(O82))</f>
        <v/>
      </c>
      <c r="S82" s="46">
        <f>IF($A82="","",IF(O82="",0,LEN(O82)-LEN(SUBSTITUTE(O82," ",""))+1))</f>
        <v/>
      </c>
      <c r="T82" s="46">
        <f>IF($A82="","",IF(AND(O82&lt;&gt;"",OR(O82=M82,AND(N82&lt;&gt;"",ISNUMBER(FIND("|"&amp;O82&amp;"|","|"&amp;N82&amp;"|"))))),1,0))</f>
        <v/>
      </c>
      <c r="U82" s="46">
        <f>IF($A82="","",IF(AND(Q82&lt;&gt;"",OR(Q82=M82,AND(N82&lt;&gt;"",ISNUMBER(FIND("|"&amp;Q82&amp;"|","|"&amp;N82&amp;"|"))))),1,0))</f>
        <v/>
      </c>
      <c r="V82" s="46">
        <f>IF($A82="","",IF(P82=O82,1,0))</f>
        <v/>
      </c>
      <c r="W82" s="46">
        <f>IF($A82="","",IF(Q82=O82,1,0))</f>
        <v/>
      </c>
      <c r="X82" s="46">
        <f>IF(OR($A82="",$H82=""),"",IF(AND($H82=1,T82=1),"TA",IF(AND($H82=0,T82=1),"FA",IF($H82=1,"FR","TR"))))</f>
        <v/>
      </c>
      <c r="Y82" s="46">
        <f>IF(OR($A82="",$H82=""),"",IF(AND($H82=1,U82=1),"TA",IF(AND($H82=0,U82=1),"FA",IF($H82=1,"FR","TR"))))</f>
        <v/>
      </c>
    </row>
    <row r="83" ht="15" customHeight="1" s="28">
      <c r="A83" s="54" t="n"/>
      <c r="B83" s="54" t="n"/>
      <c r="C83" s="54" t="n"/>
      <c r="D83" s="54" t="n"/>
      <c r="E83" s="54" t="n"/>
      <c r="F83" s="54" t="n"/>
      <c r="G83" s="54" t="n"/>
      <c r="H83" s="54" t="n"/>
      <c r="I83" s="54" t="n"/>
      <c r="J83" s="54" t="n"/>
      <c r="K83" s="54" t="n"/>
      <c r="L83" s="54" t="n"/>
      <c r="M83" s="46">
        <f>IF($A83="","",LOWER(TRIM(SUBSTITUTE(SUBSTITUTE(SUBSTITUTE(SUBSTITUTE(SUBSTITUTE(SUBSTITUTE(SUBSTITUTE(SUBSTITUTE(SUBSTITUTE(SUBSTITUTE(SUBSTITUTE(C83,".",""),",",""),";",""),":",""),"!",""),"?",""),"""",""),"'",""),"’",""),"“",""),"”",""))))</f>
        <v/>
      </c>
      <c r="N83" s="46">
        <f>IF($A83="","",SUBSTITUTE(SUBSTITUTE(LOWER(TRIM(SUBSTITUTE(SUBSTITUTE(SUBSTITUTE(SUBSTITUTE(SUBSTITUTE(SUBSTITUTE(SUBSTITUTE(SUBSTITUTE(SUBSTITUTE(SUBSTITUTE(SUBSTITUTE(D83,".",""),",",""),";",""),":",""),"!",""),"?",""),"""",""),"'",""),"’",""),"“",""),"”","")))," |","|"),"| ","|"))</f>
        <v/>
      </c>
      <c r="O83" s="46">
        <f>IF($A83="","",LOWER(TRIM(SUBSTITUTE(SUBSTITUTE(SUBSTITUTE(SUBSTITUTE(SUBSTITUTE(SUBSTITUTE(SUBSTITUTE(SUBSTITUTE(SUBSTITUTE(SUBSTITUTE(SUBSTITUTE(E83,".",""),",",""),";",""),":",""),"!",""),"?",""),"""",""),"'",""),"’",""),"“",""),"”",""))))</f>
        <v/>
      </c>
      <c r="P83" s="46">
        <f>IF($A83="","",LOWER(TRIM(SUBSTITUTE(SUBSTITUTE(SUBSTITUTE(SUBSTITUTE(SUBSTITUTE(SUBSTITUTE(SUBSTITUTE(SUBSTITUTE(SUBSTITUTE(SUBSTITUTE(SUBSTITUTE(F83,".",""),",",""),";",""),":",""),"!",""),"?",""),"""",""),"'",""),"’",""),"“",""),"”",""))))</f>
        <v/>
      </c>
      <c r="Q83" s="46">
        <f>IF($A83="","",LOWER(TRIM(SUBSTITUTE(SUBSTITUTE(SUBSTITUTE(SUBSTITUTE(SUBSTITUTE(SUBSTITUTE(SUBSTITUTE(SUBSTITUTE(SUBSTITUTE(SUBSTITUTE(SUBSTITUTE(G83,".",""),",",""),";",""),":",""),"!",""),"?",""),"""",""),"'",""),"’",""),"“",""),"”",""))))</f>
        <v/>
      </c>
      <c r="R83" s="46">
        <f>IF($A83="","",LEN(O83))</f>
        <v/>
      </c>
      <c r="S83" s="46">
        <f>IF($A83="","",IF(O83="",0,LEN(O83)-LEN(SUBSTITUTE(O83," ",""))+1))</f>
        <v/>
      </c>
      <c r="T83" s="46">
        <f>IF($A83="","",IF(AND(O83&lt;&gt;"",OR(O83=M83,AND(N83&lt;&gt;"",ISNUMBER(FIND("|"&amp;O83&amp;"|","|"&amp;N83&amp;"|"))))),1,0))</f>
        <v/>
      </c>
      <c r="U83" s="46">
        <f>IF($A83="","",IF(AND(Q83&lt;&gt;"",OR(Q83=M83,AND(N83&lt;&gt;"",ISNUMBER(FIND("|"&amp;Q83&amp;"|","|"&amp;N83&amp;"|"))))),1,0))</f>
        <v/>
      </c>
      <c r="V83" s="46">
        <f>IF($A83="","",IF(P83=O83,1,0))</f>
        <v/>
      </c>
      <c r="W83" s="46">
        <f>IF($A83="","",IF(Q83=O83,1,0))</f>
        <v/>
      </c>
      <c r="X83" s="46">
        <f>IF(OR($A83="",$H83=""),"",IF(AND($H83=1,T83=1),"TA",IF(AND($H83=0,T83=1),"FA",IF($H83=1,"FR","TR"))))</f>
        <v/>
      </c>
      <c r="Y83" s="46">
        <f>IF(OR($A83="",$H83=""),"",IF(AND($H83=1,U83=1),"TA",IF(AND($H83=0,U83=1),"FA",IF($H83=1,"FR","TR"))))</f>
        <v/>
      </c>
    </row>
    <row r="84" ht="15" customHeight="1" s="28">
      <c r="A84" s="54" t="n"/>
      <c r="B84" s="54" t="n"/>
      <c r="C84" s="54" t="n"/>
      <c r="D84" s="54" t="n"/>
      <c r="E84" s="54" t="n"/>
      <c r="F84" s="54" t="n"/>
      <c r="G84" s="54" t="n"/>
      <c r="H84" s="54" t="n"/>
      <c r="I84" s="54" t="n"/>
      <c r="J84" s="54" t="n"/>
      <c r="K84" s="54" t="n"/>
      <c r="L84" s="54" t="n"/>
      <c r="M84" s="46">
        <f>IF($A84="","",LOWER(TRIM(SUBSTITUTE(SUBSTITUTE(SUBSTITUTE(SUBSTITUTE(SUBSTITUTE(SUBSTITUTE(SUBSTITUTE(SUBSTITUTE(SUBSTITUTE(SUBSTITUTE(SUBSTITUTE(C84,".",""),",",""),";",""),":",""),"!",""),"?",""),"""",""),"'",""),"’",""),"“",""),"”",""))))</f>
        <v/>
      </c>
      <c r="N84" s="46">
        <f>IF($A84="","",SUBSTITUTE(SUBSTITUTE(LOWER(TRIM(SUBSTITUTE(SUBSTITUTE(SUBSTITUTE(SUBSTITUTE(SUBSTITUTE(SUBSTITUTE(SUBSTITUTE(SUBSTITUTE(SUBSTITUTE(SUBSTITUTE(SUBSTITUTE(D84,".",""),",",""),";",""),":",""),"!",""),"?",""),"""",""),"'",""),"’",""),"“",""),"”","")))," |","|"),"| ","|"))</f>
        <v/>
      </c>
      <c r="O84" s="46">
        <f>IF($A84="","",LOWER(TRIM(SUBSTITUTE(SUBSTITUTE(SUBSTITUTE(SUBSTITUTE(SUBSTITUTE(SUBSTITUTE(SUBSTITUTE(SUBSTITUTE(SUBSTITUTE(SUBSTITUTE(SUBSTITUTE(E84,".",""),",",""),";",""),":",""),"!",""),"?",""),"""",""),"'",""),"’",""),"“",""),"”",""))))</f>
        <v/>
      </c>
      <c r="P84" s="46">
        <f>IF($A84="","",LOWER(TRIM(SUBSTITUTE(SUBSTITUTE(SUBSTITUTE(SUBSTITUTE(SUBSTITUTE(SUBSTITUTE(SUBSTITUTE(SUBSTITUTE(SUBSTITUTE(SUBSTITUTE(SUBSTITUTE(F84,".",""),",",""),";",""),":",""),"!",""),"?",""),"""",""),"'",""),"’",""),"“",""),"”",""))))</f>
        <v/>
      </c>
      <c r="Q84" s="46">
        <f>IF($A84="","",LOWER(TRIM(SUBSTITUTE(SUBSTITUTE(SUBSTITUTE(SUBSTITUTE(SUBSTITUTE(SUBSTITUTE(SUBSTITUTE(SUBSTITUTE(SUBSTITUTE(SUBSTITUTE(SUBSTITUTE(G84,".",""),",",""),";",""),":",""),"!",""),"?",""),"""",""),"'",""),"’",""),"“",""),"”",""))))</f>
        <v/>
      </c>
      <c r="R84" s="46">
        <f>IF($A84="","",LEN(O84))</f>
        <v/>
      </c>
      <c r="S84" s="46">
        <f>IF($A84="","",IF(O84="",0,LEN(O84)-LEN(SUBSTITUTE(O84," ",""))+1))</f>
        <v/>
      </c>
      <c r="T84" s="46">
        <f>IF($A84="","",IF(AND(O84&lt;&gt;"",OR(O84=M84,AND(N84&lt;&gt;"",ISNUMBER(FIND("|"&amp;O84&amp;"|","|"&amp;N84&amp;"|"))))),1,0))</f>
        <v/>
      </c>
      <c r="U84" s="46">
        <f>IF($A84="","",IF(AND(Q84&lt;&gt;"",OR(Q84=M84,AND(N84&lt;&gt;"",ISNUMBER(FIND("|"&amp;Q84&amp;"|","|"&amp;N84&amp;"|"))))),1,0))</f>
        <v/>
      </c>
      <c r="V84" s="46">
        <f>IF($A84="","",IF(P84=O84,1,0))</f>
        <v/>
      </c>
      <c r="W84" s="46">
        <f>IF($A84="","",IF(Q84=O84,1,0))</f>
        <v/>
      </c>
      <c r="X84" s="46">
        <f>IF(OR($A84="",$H84=""),"",IF(AND($H84=1,T84=1),"TA",IF(AND($H84=0,T84=1),"FA",IF($H84=1,"FR","TR"))))</f>
        <v/>
      </c>
      <c r="Y84" s="46">
        <f>IF(OR($A84="",$H84=""),"",IF(AND($H84=1,U84=1),"TA",IF(AND($H84=0,U84=1),"FA",IF($H84=1,"FR","TR"))))</f>
        <v/>
      </c>
    </row>
    <row r="85" ht="15" customHeight="1" s="28">
      <c r="A85" s="54" t="n"/>
      <c r="B85" s="54" t="n"/>
      <c r="C85" s="54" t="n"/>
      <c r="D85" s="54" t="n"/>
      <c r="E85" s="54" t="n"/>
      <c r="F85" s="54" t="n"/>
      <c r="G85" s="54" t="n"/>
      <c r="H85" s="54" t="n"/>
      <c r="I85" s="54" t="n"/>
      <c r="J85" s="54" t="n"/>
      <c r="K85" s="54" t="n"/>
      <c r="L85" s="54" t="n"/>
      <c r="M85" s="46">
        <f>IF($A85="","",LOWER(TRIM(SUBSTITUTE(SUBSTITUTE(SUBSTITUTE(SUBSTITUTE(SUBSTITUTE(SUBSTITUTE(SUBSTITUTE(SUBSTITUTE(SUBSTITUTE(SUBSTITUTE(SUBSTITUTE(C85,".",""),",",""),";",""),":",""),"!",""),"?",""),"""",""),"'",""),"’",""),"“",""),"”",""))))</f>
        <v/>
      </c>
      <c r="N85" s="46">
        <f>IF($A85="","",SUBSTITUTE(SUBSTITUTE(LOWER(TRIM(SUBSTITUTE(SUBSTITUTE(SUBSTITUTE(SUBSTITUTE(SUBSTITUTE(SUBSTITUTE(SUBSTITUTE(SUBSTITUTE(SUBSTITUTE(SUBSTITUTE(SUBSTITUTE(D85,".",""),",",""),";",""),":",""),"!",""),"?",""),"""",""),"'",""),"’",""),"“",""),"”","")))," |","|"),"| ","|"))</f>
        <v/>
      </c>
      <c r="O85" s="46">
        <f>IF($A85="","",LOWER(TRIM(SUBSTITUTE(SUBSTITUTE(SUBSTITUTE(SUBSTITUTE(SUBSTITUTE(SUBSTITUTE(SUBSTITUTE(SUBSTITUTE(SUBSTITUTE(SUBSTITUTE(SUBSTITUTE(E85,".",""),",",""),";",""),":",""),"!",""),"?",""),"""",""),"'",""),"’",""),"“",""),"”",""))))</f>
        <v/>
      </c>
      <c r="P85" s="46">
        <f>IF($A85="","",LOWER(TRIM(SUBSTITUTE(SUBSTITUTE(SUBSTITUTE(SUBSTITUTE(SUBSTITUTE(SUBSTITUTE(SUBSTITUTE(SUBSTITUTE(SUBSTITUTE(SUBSTITUTE(SUBSTITUTE(F85,".",""),",",""),";",""),":",""),"!",""),"?",""),"""",""),"'",""),"’",""),"“",""),"”",""))))</f>
        <v/>
      </c>
      <c r="Q85" s="46">
        <f>IF($A85="","",LOWER(TRIM(SUBSTITUTE(SUBSTITUTE(SUBSTITUTE(SUBSTITUTE(SUBSTITUTE(SUBSTITUTE(SUBSTITUTE(SUBSTITUTE(SUBSTITUTE(SUBSTITUTE(SUBSTITUTE(G85,".",""),",",""),";",""),":",""),"!",""),"?",""),"""",""),"'",""),"’",""),"“",""),"”",""))))</f>
        <v/>
      </c>
      <c r="R85" s="46">
        <f>IF($A85="","",LEN(O85))</f>
        <v/>
      </c>
      <c r="S85" s="46">
        <f>IF($A85="","",IF(O85="",0,LEN(O85)-LEN(SUBSTITUTE(O85," ",""))+1))</f>
        <v/>
      </c>
      <c r="T85" s="46">
        <f>IF($A85="","",IF(AND(O85&lt;&gt;"",OR(O85=M85,AND(N85&lt;&gt;"",ISNUMBER(FIND("|"&amp;O85&amp;"|","|"&amp;N85&amp;"|"))))),1,0))</f>
        <v/>
      </c>
      <c r="U85" s="46">
        <f>IF($A85="","",IF(AND(Q85&lt;&gt;"",OR(Q85=M85,AND(N85&lt;&gt;"",ISNUMBER(FIND("|"&amp;Q85&amp;"|","|"&amp;N85&amp;"|"))))),1,0))</f>
        <v/>
      </c>
      <c r="V85" s="46">
        <f>IF($A85="","",IF(P85=O85,1,0))</f>
        <v/>
      </c>
      <c r="W85" s="46">
        <f>IF($A85="","",IF(Q85=O85,1,0))</f>
        <v/>
      </c>
      <c r="X85" s="46">
        <f>IF(OR($A85="",$H85=""),"",IF(AND($H85=1,T85=1),"TA",IF(AND($H85=0,T85=1),"FA",IF($H85=1,"FR","TR"))))</f>
        <v/>
      </c>
      <c r="Y85" s="46">
        <f>IF(OR($A85="",$H85=""),"",IF(AND($H85=1,U85=1),"TA",IF(AND($H85=0,U85=1),"FA",IF($H85=1,"FR","TR"))))</f>
        <v/>
      </c>
    </row>
    <row r="86" ht="15" customHeight="1" s="28">
      <c r="A86" s="54" t="n"/>
      <c r="B86" s="54" t="n"/>
      <c r="C86" s="54" t="n"/>
      <c r="D86" s="54" t="n"/>
      <c r="E86" s="54" t="n"/>
      <c r="F86" s="54" t="n"/>
      <c r="G86" s="54" t="n"/>
      <c r="H86" s="54" t="n"/>
      <c r="I86" s="54" t="n"/>
      <c r="J86" s="54" t="n"/>
      <c r="K86" s="54" t="n"/>
      <c r="L86" s="54" t="n"/>
      <c r="M86" s="46">
        <f>IF($A86="","",LOWER(TRIM(SUBSTITUTE(SUBSTITUTE(SUBSTITUTE(SUBSTITUTE(SUBSTITUTE(SUBSTITUTE(SUBSTITUTE(SUBSTITUTE(SUBSTITUTE(SUBSTITUTE(SUBSTITUTE(C86,".",""),",",""),";",""),":",""),"!",""),"?",""),"""",""),"'",""),"’",""),"“",""),"”",""))))</f>
        <v/>
      </c>
      <c r="N86" s="46">
        <f>IF($A86="","",SUBSTITUTE(SUBSTITUTE(LOWER(TRIM(SUBSTITUTE(SUBSTITUTE(SUBSTITUTE(SUBSTITUTE(SUBSTITUTE(SUBSTITUTE(SUBSTITUTE(SUBSTITUTE(SUBSTITUTE(SUBSTITUTE(SUBSTITUTE(D86,".",""),",",""),";",""),":",""),"!",""),"?",""),"""",""),"'",""),"’",""),"“",""),"”","")))," |","|"),"| ","|"))</f>
        <v/>
      </c>
      <c r="O86" s="46">
        <f>IF($A86="","",LOWER(TRIM(SUBSTITUTE(SUBSTITUTE(SUBSTITUTE(SUBSTITUTE(SUBSTITUTE(SUBSTITUTE(SUBSTITUTE(SUBSTITUTE(SUBSTITUTE(SUBSTITUTE(SUBSTITUTE(E86,".",""),",",""),";",""),":",""),"!",""),"?",""),"""",""),"'",""),"’",""),"“",""),"”",""))))</f>
        <v/>
      </c>
      <c r="P86" s="46">
        <f>IF($A86="","",LOWER(TRIM(SUBSTITUTE(SUBSTITUTE(SUBSTITUTE(SUBSTITUTE(SUBSTITUTE(SUBSTITUTE(SUBSTITUTE(SUBSTITUTE(SUBSTITUTE(SUBSTITUTE(SUBSTITUTE(F86,".",""),",",""),";",""),":",""),"!",""),"?",""),"""",""),"'",""),"’",""),"“",""),"”",""))))</f>
        <v/>
      </c>
      <c r="Q86" s="46">
        <f>IF($A86="","",LOWER(TRIM(SUBSTITUTE(SUBSTITUTE(SUBSTITUTE(SUBSTITUTE(SUBSTITUTE(SUBSTITUTE(SUBSTITUTE(SUBSTITUTE(SUBSTITUTE(SUBSTITUTE(SUBSTITUTE(G86,".",""),",",""),";",""),":",""),"!",""),"?",""),"""",""),"'",""),"’",""),"“",""),"”",""))))</f>
        <v/>
      </c>
      <c r="R86" s="46">
        <f>IF($A86="","",LEN(O86))</f>
        <v/>
      </c>
      <c r="S86" s="46">
        <f>IF($A86="","",IF(O86="",0,LEN(O86)-LEN(SUBSTITUTE(O86," ",""))+1))</f>
        <v/>
      </c>
      <c r="T86" s="46">
        <f>IF($A86="","",IF(AND(O86&lt;&gt;"",OR(O86=M86,AND(N86&lt;&gt;"",ISNUMBER(FIND("|"&amp;O86&amp;"|","|"&amp;N86&amp;"|"))))),1,0))</f>
        <v/>
      </c>
      <c r="U86" s="46">
        <f>IF($A86="","",IF(AND(Q86&lt;&gt;"",OR(Q86=M86,AND(N86&lt;&gt;"",ISNUMBER(FIND("|"&amp;Q86&amp;"|","|"&amp;N86&amp;"|"))))),1,0))</f>
        <v/>
      </c>
      <c r="V86" s="46">
        <f>IF($A86="","",IF(P86=O86,1,0))</f>
        <v/>
      </c>
      <c r="W86" s="46">
        <f>IF($A86="","",IF(Q86=O86,1,0))</f>
        <v/>
      </c>
      <c r="X86" s="46">
        <f>IF(OR($A86="",$H86=""),"",IF(AND($H86=1,T86=1),"TA",IF(AND($H86=0,T86=1),"FA",IF($H86=1,"FR","TR"))))</f>
        <v/>
      </c>
      <c r="Y86" s="46">
        <f>IF(OR($A86="",$H86=""),"",IF(AND($H86=1,U86=1),"TA",IF(AND($H86=0,U86=1),"FA",IF($H86=1,"FR","TR"))))</f>
        <v/>
      </c>
    </row>
    <row r="87" ht="15" customHeight="1" s="28">
      <c r="A87" s="54" t="n"/>
      <c r="B87" s="54" t="n"/>
      <c r="C87" s="54" t="n"/>
      <c r="D87" s="54" t="n"/>
      <c r="E87" s="54" t="n"/>
      <c r="F87" s="54" t="n"/>
      <c r="G87" s="54" t="n"/>
      <c r="H87" s="54" t="n"/>
      <c r="I87" s="54" t="n"/>
      <c r="J87" s="54" t="n"/>
      <c r="K87" s="54" t="n"/>
      <c r="L87" s="54" t="n"/>
      <c r="M87" s="46">
        <f>IF($A87="","",LOWER(TRIM(SUBSTITUTE(SUBSTITUTE(SUBSTITUTE(SUBSTITUTE(SUBSTITUTE(SUBSTITUTE(SUBSTITUTE(SUBSTITUTE(SUBSTITUTE(SUBSTITUTE(SUBSTITUTE(C87,".",""),",",""),";",""),":",""),"!",""),"?",""),"""",""),"'",""),"’",""),"“",""),"”",""))))</f>
        <v/>
      </c>
      <c r="N87" s="46">
        <f>IF($A87="","",SUBSTITUTE(SUBSTITUTE(LOWER(TRIM(SUBSTITUTE(SUBSTITUTE(SUBSTITUTE(SUBSTITUTE(SUBSTITUTE(SUBSTITUTE(SUBSTITUTE(SUBSTITUTE(SUBSTITUTE(SUBSTITUTE(SUBSTITUTE(D87,".",""),",",""),";",""),":",""),"!",""),"?",""),"""",""),"'",""),"’",""),"“",""),"”","")))," |","|"),"| ","|"))</f>
        <v/>
      </c>
      <c r="O87" s="46">
        <f>IF($A87="","",LOWER(TRIM(SUBSTITUTE(SUBSTITUTE(SUBSTITUTE(SUBSTITUTE(SUBSTITUTE(SUBSTITUTE(SUBSTITUTE(SUBSTITUTE(SUBSTITUTE(SUBSTITUTE(SUBSTITUTE(E87,".",""),",",""),";",""),":",""),"!",""),"?",""),"""",""),"'",""),"’",""),"“",""),"”",""))))</f>
        <v/>
      </c>
      <c r="P87" s="46">
        <f>IF($A87="","",LOWER(TRIM(SUBSTITUTE(SUBSTITUTE(SUBSTITUTE(SUBSTITUTE(SUBSTITUTE(SUBSTITUTE(SUBSTITUTE(SUBSTITUTE(SUBSTITUTE(SUBSTITUTE(SUBSTITUTE(F87,".",""),",",""),";",""),":",""),"!",""),"?",""),"""",""),"'",""),"’",""),"“",""),"”",""))))</f>
        <v/>
      </c>
      <c r="Q87" s="46">
        <f>IF($A87="","",LOWER(TRIM(SUBSTITUTE(SUBSTITUTE(SUBSTITUTE(SUBSTITUTE(SUBSTITUTE(SUBSTITUTE(SUBSTITUTE(SUBSTITUTE(SUBSTITUTE(SUBSTITUTE(SUBSTITUTE(G87,".",""),",",""),";",""),":",""),"!",""),"?",""),"""",""),"'",""),"’",""),"“",""),"”",""))))</f>
        <v/>
      </c>
      <c r="R87" s="46">
        <f>IF($A87="","",LEN(O87))</f>
        <v/>
      </c>
      <c r="S87" s="46">
        <f>IF($A87="","",IF(O87="",0,LEN(O87)-LEN(SUBSTITUTE(O87," ",""))+1))</f>
        <v/>
      </c>
      <c r="T87" s="46">
        <f>IF($A87="","",IF(AND(O87&lt;&gt;"",OR(O87=M87,AND(N87&lt;&gt;"",ISNUMBER(FIND("|"&amp;O87&amp;"|","|"&amp;N87&amp;"|"))))),1,0))</f>
        <v/>
      </c>
      <c r="U87" s="46">
        <f>IF($A87="","",IF(AND(Q87&lt;&gt;"",OR(Q87=M87,AND(N87&lt;&gt;"",ISNUMBER(FIND("|"&amp;Q87&amp;"|","|"&amp;N87&amp;"|"))))),1,0))</f>
        <v/>
      </c>
      <c r="V87" s="46">
        <f>IF($A87="","",IF(P87=O87,1,0))</f>
        <v/>
      </c>
      <c r="W87" s="46">
        <f>IF($A87="","",IF(Q87=O87,1,0))</f>
        <v/>
      </c>
      <c r="X87" s="46">
        <f>IF(OR($A87="",$H87=""),"",IF(AND($H87=1,T87=1),"TA",IF(AND($H87=0,T87=1),"FA",IF($H87=1,"FR","TR"))))</f>
        <v/>
      </c>
      <c r="Y87" s="46">
        <f>IF(OR($A87="",$H87=""),"",IF(AND($H87=1,U87=1),"TA",IF(AND($H87=0,U87=1),"FA",IF($H87=1,"FR","TR"))))</f>
        <v/>
      </c>
    </row>
    <row r="88" ht="15" customHeight="1" s="28">
      <c r="A88" s="54" t="n"/>
      <c r="B88" s="54" t="n"/>
      <c r="C88" s="54" t="n"/>
      <c r="D88" s="54" t="n"/>
      <c r="E88" s="54" t="n"/>
      <c r="F88" s="54" t="n"/>
      <c r="G88" s="54" t="n"/>
      <c r="H88" s="54" t="n"/>
      <c r="I88" s="54" t="n"/>
      <c r="J88" s="54" t="n"/>
      <c r="K88" s="54" t="n"/>
      <c r="L88" s="54" t="n"/>
      <c r="M88" s="46">
        <f>IF($A88="","",LOWER(TRIM(SUBSTITUTE(SUBSTITUTE(SUBSTITUTE(SUBSTITUTE(SUBSTITUTE(SUBSTITUTE(SUBSTITUTE(SUBSTITUTE(SUBSTITUTE(SUBSTITUTE(SUBSTITUTE(C88,".",""),",",""),";",""),":",""),"!",""),"?",""),"""",""),"'",""),"’",""),"“",""),"”",""))))</f>
        <v/>
      </c>
      <c r="N88" s="46">
        <f>IF($A88="","",SUBSTITUTE(SUBSTITUTE(LOWER(TRIM(SUBSTITUTE(SUBSTITUTE(SUBSTITUTE(SUBSTITUTE(SUBSTITUTE(SUBSTITUTE(SUBSTITUTE(SUBSTITUTE(SUBSTITUTE(SUBSTITUTE(SUBSTITUTE(D88,".",""),",",""),";",""),":",""),"!",""),"?",""),"""",""),"'",""),"’",""),"“",""),"”","")))," |","|"),"| ","|"))</f>
        <v/>
      </c>
      <c r="O88" s="46">
        <f>IF($A88="","",LOWER(TRIM(SUBSTITUTE(SUBSTITUTE(SUBSTITUTE(SUBSTITUTE(SUBSTITUTE(SUBSTITUTE(SUBSTITUTE(SUBSTITUTE(SUBSTITUTE(SUBSTITUTE(SUBSTITUTE(E88,".",""),",",""),";",""),":",""),"!",""),"?",""),"""",""),"'",""),"’",""),"“",""),"”",""))))</f>
        <v/>
      </c>
      <c r="P88" s="46">
        <f>IF($A88="","",LOWER(TRIM(SUBSTITUTE(SUBSTITUTE(SUBSTITUTE(SUBSTITUTE(SUBSTITUTE(SUBSTITUTE(SUBSTITUTE(SUBSTITUTE(SUBSTITUTE(SUBSTITUTE(SUBSTITUTE(F88,".",""),",",""),";",""),":",""),"!",""),"?",""),"""",""),"'",""),"’",""),"“",""),"”",""))))</f>
        <v/>
      </c>
      <c r="Q88" s="46">
        <f>IF($A88="","",LOWER(TRIM(SUBSTITUTE(SUBSTITUTE(SUBSTITUTE(SUBSTITUTE(SUBSTITUTE(SUBSTITUTE(SUBSTITUTE(SUBSTITUTE(SUBSTITUTE(SUBSTITUTE(SUBSTITUTE(G88,".",""),",",""),";",""),":",""),"!",""),"?",""),"""",""),"'",""),"’",""),"“",""),"”",""))))</f>
        <v/>
      </c>
      <c r="R88" s="46">
        <f>IF($A88="","",LEN(O88))</f>
        <v/>
      </c>
      <c r="S88" s="46">
        <f>IF($A88="","",IF(O88="",0,LEN(O88)-LEN(SUBSTITUTE(O88," ",""))+1))</f>
        <v/>
      </c>
      <c r="T88" s="46">
        <f>IF($A88="","",IF(AND(O88&lt;&gt;"",OR(O88=M88,AND(N88&lt;&gt;"",ISNUMBER(FIND("|"&amp;O88&amp;"|","|"&amp;N88&amp;"|"))))),1,0))</f>
        <v/>
      </c>
      <c r="U88" s="46">
        <f>IF($A88="","",IF(AND(Q88&lt;&gt;"",OR(Q88=M88,AND(N88&lt;&gt;"",ISNUMBER(FIND("|"&amp;Q88&amp;"|","|"&amp;N88&amp;"|"))))),1,0))</f>
        <v/>
      </c>
      <c r="V88" s="46">
        <f>IF($A88="","",IF(P88=O88,1,0))</f>
        <v/>
      </c>
      <c r="W88" s="46">
        <f>IF($A88="","",IF(Q88=O88,1,0))</f>
        <v/>
      </c>
      <c r="X88" s="46">
        <f>IF(OR($A88="",$H88=""),"",IF(AND($H88=1,T88=1),"TA",IF(AND($H88=0,T88=1),"FA",IF($H88=1,"FR","TR"))))</f>
        <v/>
      </c>
      <c r="Y88" s="46">
        <f>IF(OR($A88="",$H88=""),"",IF(AND($H88=1,U88=1),"TA",IF(AND($H88=0,U88=1),"FA",IF($H88=1,"FR","TR"))))</f>
        <v/>
      </c>
    </row>
    <row r="89" ht="15" customHeight="1" s="28">
      <c r="A89" s="54" t="n"/>
      <c r="B89" s="54" t="n"/>
      <c r="C89" s="54" t="n"/>
      <c r="D89" s="54" t="n"/>
      <c r="E89" s="54" t="n"/>
      <c r="F89" s="54" t="n"/>
      <c r="G89" s="54" t="n"/>
      <c r="H89" s="54" t="n"/>
      <c r="I89" s="54" t="n"/>
      <c r="J89" s="54" t="n"/>
      <c r="K89" s="54" t="n"/>
      <c r="L89" s="54" t="n"/>
      <c r="M89" s="46">
        <f>IF($A89="","",LOWER(TRIM(SUBSTITUTE(SUBSTITUTE(SUBSTITUTE(SUBSTITUTE(SUBSTITUTE(SUBSTITUTE(SUBSTITUTE(SUBSTITUTE(SUBSTITUTE(SUBSTITUTE(SUBSTITUTE(C89,".",""),",",""),";",""),":",""),"!",""),"?",""),"""",""),"'",""),"’",""),"“",""),"”",""))))</f>
        <v/>
      </c>
      <c r="N89" s="46">
        <f>IF($A89="","",SUBSTITUTE(SUBSTITUTE(LOWER(TRIM(SUBSTITUTE(SUBSTITUTE(SUBSTITUTE(SUBSTITUTE(SUBSTITUTE(SUBSTITUTE(SUBSTITUTE(SUBSTITUTE(SUBSTITUTE(SUBSTITUTE(SUBSTITUTE(D89,".",""),",",""),";",""),":",""),"!",""),"?",""),"""",""),"'",""),"’",""),"“",""),"”","")))," |","|"),"| ","|"))</f>
        <v/>
      </c>
      <c r="O89" s="46">
        <f>IF($A89="","",LOWER(TRIM(SUBSTITUTE(SUBSTITUTE(SUBSTITUTE(SUBSTITUTE(SUBSTITUTE(SUBSTITUTE(SUBSTITUTE(SUBSTITUTE(SUBSTITUTE(SUBSTITUTE(SUBSTITUTE(E89,".",""),",",""),";",""),":",""),"!",""),"?",""),"""",""),"'",""),"’",""),"“",""),"”",""))))</f>
        <v/>
      </c>
      <c r="P89" s="46">
        <f>IF($A89="","",LOWER(TRIM(SUBSTITUTE(SUBSTITUTE(SUBSTITUTE(SUBSTITUTE(SUBSTITUTE(SUBSTITUTE(SUBSTITUTE(SUBSTITUTE(SUBSTITUTE(SUBSTITUTE(SUBSTITUTE(F89,".",""),",",""),";",""),":",""),"!",""),"?",""),"""",""),"'",""),"’",""),"“",""),"”",""))))</f>
        <v/>
      </c>
      <c r="Q89" s="46">
        <f>IF($A89="","",LOWER(TRIM(SUBSTITUTE(SUBSTITUTE(SUBSTITUTE(SUBSTITUTE(SUBSTITUTE(SUBSTITUTE(SUBSTITUTE(SUBSTITUTE(SUBSTITUTE(SUBSTITUTE(SUBSTITUTE(G89,".",""),",",""),";",""),":",""),"!",""),"?",""),"""",""),"'",""),"’",""),"“",""),"”",""))))</f>
        <v/>
      </c>
      <c r="R89" s="46">
        <f>IF($A89="","",LEN(O89))</f>
        <v/>
      </c>
      <c r="S89" s="46">
        <f>IF($A89="","",IF(O89="",0,LEN(O89)-LEN(SUBSTITUTE(O89," ",""))+1))</f>
        <v/>
      </c>
      <c r="T89" s="46">
        <f>IF($A89="","",IF(AND(O89&lt;&gt;"",OR(O89=M89,AND(N89&lt;&gt;"",ISNUMBER(FIND("|"&amp;O89&amp;"|","|"&amp;N89&amp;"|"))))),1,0))</f>
        <v/>
      </c>
      <c r="U89" s="46">
        <f>IF($A89="","",IF(AND(Q89&lt;&gt;"",OR(Q89=M89,AND(N89&lt;&gt;"",ISNUMBER(FIND("|"&amp;Q89&amp;"|","|"&amp;N89&amp;"|"))))),1,0))</f>
        <v/>
      </c>
      <c r="V89" s="46">
        <f>IF($A89="","",IF(P89=O89,1,0))</f>
        <v/>
      </c>
      <c r="W89" s="46">
        <f>IF($A89="","",IF(Q89=O89,1,0))</f>
        <v/>
      </c>
      <c r="X89" s="46">
        <f>IF(OR($A89="",$H89=""),"",IF(AND($H89=1,T89=1),"TA",IF(AND($H89=0,T89=1),"FA",IF($H89=1,"FR","TR"))))</f>
        <v/>
      </c>
      <c r="Y89" s="46">
        <f>IF(OR($A89="",$H89=""),"",IF(AND($H89=1,U89=1),"TA",IF(AND($H89=0,U89=1),"FA",IF($H89=1,"FR","TR"))))</f>
        <v/>
      </c>
    </row>
    <row r="90" ht="15" customHeight="1" s="28">
      <c r="A90" s="54" t="n"/>
      <c r="B90" s="54" t="n"/>
      <c r="C90" s="54" t="n"/>
      <c r="D90" s="54" t="n"/>
      <c r="E90" s="54" t="n"/>
      <c r="F90" s="54" t="n"/>
      <c r="G90" s="54" t="n"/>
      <c r="H90" s="54" t="n"/>
      <c r="I90" s="54" t="n"/>
      <c r="J90" s="54" t="n"/>
      <c r="K90" s="54" t="n"/>
      <c r="L90" s="54" t="n"/>
      <c r="M90" s="46">
        <f>IF($A90="","",LOWER(TRIM(SUBSTITUTE(SUBSTITUTE(SUBSTITUTE(SUBSTITUTE(SUBSTITUTE(SUBSTITUTE(SUBSTITUTE(SUBSTITUTE(SUBSTITUTE(SUBSTITUTE(SUBSTITUTE(C90,".",""),",",""),";",""),":",""),"!",""),"?",""),"""",""),"'",""),"’",""),"“",""),"”",""))))</f>
        <v/>
      </c>
      <c r="N90" s="46">
        <f>IF($A90="","",SUBSTITUTE(SUBSTITUTE(LOWER(TRIM(SUBSTITUTE(SUBSTITUTE(SUBSTITUTE(SUBSTITUTE(SUBSTITUTE(SUBSTITUTE(SUBSTITUTE(SUBSTITUTE(SUBSTITUTE(SUBSTITUTE(SUBSTITUTE(D90,".",""),",",""),";",""),":",""),"!",""),"?",""),"""",""),"'",""),"’",""),"“",""),"”","")))," |","|"),"| ","|"))</f>
        <v/>
      </c>
      <c r="O90" s="46">
        <f>IF($A90="","",LOWER(TRIM(SUBSTITUTE(SUBSTITUTE(SUBSTITUTE(SUBSTITUTE(SUBSTITUTE(SUBSTITUTE(SUBSTITUTE(SUBSTITUTE(SUBSTITUTE(SUBSTITUTE(SUBSTITUTE(E90,".",""),",",""),";",""),":",""),"!",""),"?",""),"""",""),"'",""),"’",""),"“",""),"”",""))))</f>
        <v/>
      </c>
      <c r="P90" s="46">
        <f>IF($A90="","",LOWER(TRIM(SUBSTITUTE(SUBSTITUTE(SUBSTITUTE(SUBSTITUTE(SUBSTITUTE(SUBSTITUTE(SUBSTITUTE(SUBSTITUTE(SUBSTITUTE(SUBSTITUTE(SUBSTITUTE(F90,".",""),",",""),";",""),":",""),"!",""),"?",""),"""",""),"'",""),"’",""),"“",""),"”",""))))</f>
        <v/>
      </c>
      <c r="Q90" s="46">
        <f>IF($A90="","",LOWER(TRIM(SUBSTITUTE(SUBSTITUTE(SUBSTITUTE(SUBSTITUTE(SUBSTITUTE(SUBSTITUTE(SUBSTITUTE(SUBSTITUTE(SUBSTITUTE(SUBSTITUTE(SUBSTITUTE(G90,".",""),",",""),";",""),":",""),"!",""),"?",""),"""",""),"'",""),"’",""),"“",""),"”",""))))</f>
        <v/>
      </c>
      <c r="R90" s="46">
        <f>IF($A90="","",LEN(O90))</f>
        <v/>
      </c>
      <c r="S90" s="46">
        <f>IF($A90="","",IF(O90="",0,LEN(O90)-LEN(SUBSTITUTE(O90," ",""))+1))</f>
        <v/>
      </c>
      <c r="T90" s="46">
        <f>IF($A90="","",IF(AND(O90&lt;&gt;"",OR(O90=M90,AND(N90&lt;&gt;"",ISNUMBER(FIND("|"&amp;O90&amp;"|","|"&amp;N90&amp;"|"))))),1,0))</f>
        <v/>
      </c>
      <c r="U90" s="46">
        <f>IF($A90="","",IF(AND(Q90&lt;&gt;"",OR(Q90=M90,AND(N90&lt;&gt;"",ISNUMBER(FIND("|"&amp;Q90&amp;"|","|"&amp;N90&amp;"|"))))),1,0))</f>
        <v/>
      </c>
      <c r="V90" s="46">
        <f>IF($A90="","",IF(P90=O90,1,0))</f>
        <v/>
      </c>
      <c r="W90" s="46">
        <f>IF($A90="","",IF(Q90=O90,1,0))</f>
        <v/>
      </c>
      <c r="X90" s="46">
        <f>IF(OR($A90="",$H90=""),"",IF(AND($H90=1,T90=1),"TA",IF(AND($H90=0,T90=1),"FA",IF($H90=1,"FR","TR"))))</f>
        <v/>
      </c>
      <c r="Y90" s="46">
        <f>IF(OR($A90="",$H90=""),"",IF(AND($H90=1,U90=1),"TA",IF(AND($H90=0,U90=1),"FA",IF($H90=1,"FR","TR"))))</f>
        <v/>
      </c>
    </row>
    <row r="91" ht="15" customHeight="1" s="28">
      <c r="A91" s="54" t="n"/>
      <c r="B91" s="54" t="n"/>
      <c r="C91" s="54" t="n"/>
      <c r="D91" s="54" t="n"/>
      <c r="E91" s="54" t="n"/>
      <c r="F91" s="54" t="n"/>
      <c r="G91" s="54" t="n"/>
      <c r="H91" s="54" t="n"/>
      <c r="I91" s="54" t="n"/>
      <c r="J91" s="54" t="n"/>
      <c r="K91" s="54" t="n"/>
      <c r="L91" s="54" t="n"/>
      <c r="M91" s="46">
        <f>IF($A91="","",LOWER(TRIM(SUBSTITUTE(SUBSTITUTE(SUBSTITUTE(SUBSTITUTE(SUBSTITUTE(SUBSTITUTE(SUBSTITUTE(SUBSTITUTE(SUBSTITUTE(SUBSTITUTE(SUBSTITUTE(C91,".",""),",",""),";",""),":",""),"!",""),"?",""),"""",""),"'",""),"’",""),"“",""),"”",""))))</f>
        <v/>
      </c>
      <c r="N91" s="46">
        <f>IF($A91="","",SUBSTITUTE(SUBSTITUTE(LOWER(TRIM(SUBSTITUTE(SUBSTITUTE(SUBSTITUTE(SUBSTITUTE(SUBSTITUTE(SUBSTITUTE(SUBSTITUTE(SUBSTITUTE(SUBSTITUTE(SUBSTITUTE(SUBSTITUTE(D91,".",""),",",""),";",""),":",""),"!",""),"?",""),"""",""),"'",""),"’",""),"“",""),"”","")))," |","|"),"| ","|"))</f>
        <v/>
      </c>
      <c r="O91" s="46">
        <f>IF($A91="","",LOWER(TRIM(SUBSTITUTE(SUBSTITUTE(SUBSTITUTE(SUBSTITUTE(SUBSTITUTE(SUBSTITUTE(SUBSTITUTE(SUBSTITUTE(SUBSTITUTE(SUBSTITUTE(SUBSTITUTE(E91,".",""),",",""),";",""),":",""),"!",""),"?",""),"""",""),"'",""),"’",""),"“",""),"”",""))))</f>
        <v/>
      </c>
      <c r="P91" s="46">
        <f>IF($A91="","",LOWER(TRIM(SUBSTITUTE(SUBSTITUTE(SUBSTITUTE(SUBSTITUTE(SUBSTITUTE(SUBSTITUTE(SUBSTITUTE(SUBSTITUTE(SUBSTITUTE(SUBSTITUTE(SUBSTITUTE(F91,".",""),",",""),";",""),":",""),"!",""),"?",""),"""",""),"'",""),"’",""),"“",""),"”",""))))</f>
        <v/>
      </c>
      <c r="Q91" s="46">
        <f>IF($A91="","",LOWER(TRIM(SUBSTITUTE(SUBSTITUTE(SUBSTITUTE(SUBSTITUTE(SUBSTITUTE(SUBSTITUTE(SUBSTITUTE(SUBSTITUTE(SUBSTITUTE(SUBSTITUTE(SUBSTITUTE(G91,".",""),",",""),";",""),":",""),"!",""),"?",""),"""",""),"'",""),"’",""),"“",""),"”",""))))</f>
        <v/>
      </c>
      <c r="R91" s="46">
        <f>IF($A91="","",LEN(O91))</f>
        <v/>
      </c>
      <c r="S91" s="46">
        <f>IF($A91="","",IF(O91="",0,LEN(O91)-LEN(SUBSTITUTE(O91," ",""))+1))</f>
        <v/>
      </c>
      <c r="T91" s="46">
        <f>IF($A91="","",IF(AND(O91&lt;&gt;"",OR(O91=M91,AND(N91&lt;&gt;"",ISNUMBER(FIND("|"&amp;O91&amp;"|","|"&amp;N91&amp;"|"))))),1,0))</f>
        <v/>
      </c>
      <c r="U91" s="46">
        <f>IF($A91="","",IF(AND(Q91&lt;&gt;"",OR(Q91=M91,AND(N91&lt;&gt;"",ISNUMBER(FIND("|"&amp;Q91&amp;"|","|"&amp;N91&amp;"|"))))),1,0))</f>
        <v/>
      </c>
      <c r="V91" s="46">
        <f>IF($A91="","",IF(P91=O91,1,0))</f>
        <v/>
      </c>
      <c r="W91" s="46">
        <f>IF($A91="","",IF(Q91=O91,1,0))</f>
        <v/>
      </c>
      <c r="X91" s="46">
        <f>IF(OR($A91="",$H91=""),"",IF(AND($H91=1,T91=1),"TA",IF(AND($H91=0,T91=1),"FA",IF($H91=1,"FR","TR"))))</f>
        <v/>
      </c>
      <c r="Y91" s="46">
        <f>IF(OR($A91="",$H91=""),"",IF(AND($H91=1,U91=1),"TA",IF(AND($H91=0,U91=1),"FA",IF($H91=1,"FR","TR"))))</f>
        <v/>
      </c>
    </row>
    <row r="92" ht="15" customHeight="1" s="28">
      <c r="A92" s="54" t="n"/>
      <c r="B92" s="54" t="n"/>
      <c r="C92" s="54" t="n"/>
      <c r="D92" s="54" t="n"/>
      <c r="E92" s="54" t="n"/>
      <c r="F92" s="54" t="n"/>
      <c r="G92" s="54" t="n"/>
      <c r="H92" s="54" t="n"/>
      <c r="I92" s="54" t="n"/>
      <c r="J92" s="54" t="n"/>
      <c r="K92" s="54" t="n"/>
      <c r="L92" s="54" t="n"/>
      <c r="M92" s="46">
        <f>IF($A92="","",LOWER(TRIM(SUBSTITUTE(SUBSTITUTE(SUBSTITUTE(SUBSTITUTE(SUBSTITUTE(SUBSTITUTE(SUBSTITUTE(SUBSTITUTE(SUBSTITUTE(SUBSTITUTE(SUBSTITUTE(C92,".",""),",",""),";",""),":",""),"!",""),"?",""),"""",""),"'",""),"’",""),"“",""),"”",""))))</f>
        <v/>
      </c>
      <c r="N92" s="46">
        <f>IF($A92="","",SUBSTITUTE(SUBSTITUTE(LOWER(TRIM(SUBSTITUTE(SUBSTITUTE(SUBSTITUTE(SUBSTITUTE(SUBSTITUTE(SUBSTITUTE(SUBSTITUTE(SUBSTITUTE(SUBSTITUTE(SUBSTITUTE(SUBSTITUTE(D92,".",""),",",""),";",""),":",""),"!",""),"?",""),"""",""),"'",""),"’",""),"“",""),"”","")))," |","|"),"| ","|"))</f>
        <v/>
      </c>
      <c r="O92" s="46">
        <f>IF($A92="","",LOWER(TRIM(SUBSTITUTE(SUBSTITUTE(SUBSTITUTE(SUBSTITUTE(SUBSTITUTE(SUBSTITUTE(SUBSTITUTE(SUBSTITUTE(SUBSTITUTE(SUBSTITUTE(SUBSTITUTE(E92,".",""),",",""),";",""),":",""),"!",""),"?",""),"""",""),"'",""),"’",""),"“",""),"”",""))))</f>
        <v/>
      </c>
      <c r="P92" s="46">
        <f>IF($A92="","",LOWER(TRIM(SUBSTITUTE(SUBSTITUTE(SUBSTITUTE(SUBSTITUTE(SUBSTITUTE(SUBSTITUTE(SUBSTITUTE(SUBSTITUTE(SUBSTITUTE(SUBSTITUTE(SUBSTITUTE(F92,".",""),",",""),";",""),":",""),"!",""),"?",""),"""",""),"'",""),"’",""),"“",""),"”",""))))</f>
        <v/>
      </c>
      <c r="Q92" s="46">
        <f>IF($A92="","",LOWER(TRIM(SUBSTITUTE(SUBSTITUTE(SUBSTITUTE(SUBSTITUTE(SUBSTITUTE(SUBSTITUTE(SUBSTITUTE(SUBSTITUTE(SUBSTITUTE(SUBSTITUTE(SUBSTITUTE(G92,".",""),",",""),";",""),":",""),"!",""),"?",""),"""",""),"'",""),"’",""),"“",""),"”",""))))</f>
        <v/>
      </c>
      <c r="R92" s="46">
        <f>IF($A92="","",LEN(O92))</f>
        <v/>
      </c>
      <c r="S92" s="46">
        <f>IF($A92="","",IF(O92="",0,LEN(O92)-LEN(SUBSTITUTE(O92," ",""))+1))</f>
        <v/>
      </c>
      <c r="T92" s="46">
        <f>IF($A92="","",IF(AND(O92&lt;&gt;"",OR(O92=M92,AND(N92&lt;&gt;"",ISNUMBER(FIND("|"&amp;O92&amp;"|","|"&amp;N92&amp;"|"))))),1,0))</f>
        <v/>
      </c>
      <c r="U92" s="46">
        <f>IF($A92="","",IF(AND(Q92&lt;&gt;"",OR(Q92=M92,AND(N92&lt;&gt;"",ISNUMBER(FIND("|"&amp;Q92&amp;"|","|"&amp;N92&amp;"|"))))),1,0))</f>
        <v/>
      </c>
      <c r="V92" s="46">
        <f>IF($A92="","",IF(P92=O92,1,0))</f>
        <v/>
      </c>
      <c r="W92" s="46">
        <f>IF($A92="","",IF(Q92=O92,1,0))</f>
        <v/>
      </c>
      <c r="X92" s="46">
        <f>IF(OR($A92="",$H92=""),"",IF(AND($H92=1,T92=1),"TA",IF(AND($H92=0,T92=1),"FA",IF($H92=1,"FR","TR"))))</f>
        <v/>
      </c>
      <c r="Y92" s="46">
        <f>IF(OR($A92="",$H92=""),"",IF(AND($H92=1,U92=1),"TA",IF(AND($H92=0,U92=1),"FA",IF($H92=1,"FR","TR"))))</f>
        <v/>
      </c>
    </row>
    <row r="93" ht="15" customHeight="1" s="28">
      <c r="A93" s="54" t="n"/>
      <c r="B93" s="54" t="n"/>
      <c r="C93" s="54" t="n"/>
      <c r="D93" s="54" t="n"/>
      <c r="E93" s="54" t="n"/>
      <c r="F93" s="54" t="n"/>
      <c r="G93" s="54" t="n"/>
      <c r="H93" s="54" t="n"/>
      <c r="I93" s="54" t="n"/>
      <c r="J93" s="54" t="n"/>
      <c r="K93" s="54" t="n"/>
      <c r="L93" s="54" t="n"/>
      <c r="M93" s="46">
        <f>IF($A93="","",LOWER(TRIM(SUBSTITUTE(SUBSTITUTE(SUBSTITUTE(SUBSTITUTE(SUBSTITUTE(SUBSTITUTE(SUBSTITUTE(SUBSTITUTE(SUBSTITUTE(SUBSTITUTE(SUBSTITUTE(C93,".",""),",",""),";",""),":",""),"!",""),"?",""),"""",""),"'",""),"’",""),"“",""),"”",""))))</f>
        <v/>
      </c>
      <c r="N93" s="46">
        <f>IF($A93="","",SUBSTITUTE(SUBSTITUTE(LOWER(TRIM(SUBSTITUTE(SUBSTITUTE(SUBSTITUTE(SUBSTITUTE(SUBSTITUTE(SUBSTITUTE(SUBSTITUTE(SUBSTITUTE(SUBSTITUTE(SUBSTITUTE(SUBSTITUTE(D93,".",""),",",""),";",""),":",""),"!",""),"?",""),"""",""),"'",""),"’",""),"“",""),"”","")))," |","|"),"| ","|"))</f>
        <v/>
      </c>
      <c r="O93" s="46">
        <f>IF($A93="","",LOWER(TRIM(SUBSTITUTE(SUBSTITUTE(SUBSTITUTE(SUBSTITUTE(SUBSTITUTE(SUBSTITUTE(SUBSTITUTE(SUBSTITUTE(SUBSTITUTE(SUBSTITUTE(SUBSTITUTE(E93,".",""),",",""),";",""),":",""),"!",""),"?",""),"""",""),"'",""),"’",""),"“",""),"”",""))))</f>
        <v/>
      </c>
      <c r="P93" s="46">
        <f>IF($A93="","",LOWER(TRIM(SUBSTITUTE(SUBSTITUTE(SUBSTITUTE(SUBSTITUTE(SUBSTITUTE(SUBSTITUTE(SUBSTITUTE(SUBSTITUTE(SUBSTITUTE(SUBSTITUTE(SUBSTITUTE(F93,".",""),",",""),";",""),":",""),"!",""),"?",""),"""",""),"'",""),"’",""),"“",""),"”",""))))</f>
        <v/>
      </c>
      <c r="Q93" s="46">
        <f>IF($A93="","",LOWER(TRIM(SUBSTITUTE(SUBSTITUTE(SUBSTITUTE(SUBSTITUTE(SUBSTITUTE(SUBSTITUTE(SUBSTITUTE(SUBSTITUTE(SUBSTITUTE(SUBSTITUTE(SUBSTITUTE(G93,".",""),",",""),";",""),":",""),"!",""),"?",""),"""",""),"'",""),"’",""),"“",""),"”",""))))</f>
        <v/>
      </c>
      <c r="R93" s="46">
        <f>IF($A93="","",LEN(O93))</f>
        <v/>
      </c>
      <c r="S93" s="46">
        <f>IF($A93="","",IF(O93="",0,LEN(O93)-LEN(SUBSTITUTE(O93," ",""))+1))</f>
        <v/>
      </c>
      <c r="T93" s="46">
        <f>IF($A93="","",IF(AND(O93&lt;&gt;"",OR(O93=M93,AND(N93&lt;&gt;"",ISNUMBER(FIND("|"&amp;O93&amp;"|","|"&amp;N93&amp;"|"))))),1,0))</f>
        <v/>
      </c>
      <c r="U93" s="46">
        <f>IF($A93="","",IF(AND(Q93&lt;&gt;"",OR(Q93=M93,AND(N93&lt;&gt;"",ISNUMBER(FIND("|"&amp;Q93&amp;"|","|"&amp;N93&amp;"|"))))),1,0))</f>
        <v/>
      </c>
      <c r="V93" s="46">
        <f>IF($A93="","",IF(P93=O93,1,0))</f>
        <v/>
      </c>
      <c r="W93" s="46">
        <f>IF($A93="","",IF(Q93=O93,1,0))</f>
        <v/>
      </c>
      <c r="X93" s="46">
        <f>IF(OR($A93="",$H93=""),"",IF(AND($H93=1,T93=1),"TA",IF(AND($H93=0,T93=1),"FA",IF($H93=1,"FR","TR"))))</f>
        <v/>
      </c>
      <c r="Y93" s="46">
        <f>IF(OR($A93="",$H93=""),"",IF(AND($H93=1,U93=1),"TA",IF(AND($H93=0,U93=1),"FA",IF($H93=1,"FR","TR"))))</f>
        <v/>
      </c>
    </row>
    <row r="94" ht="15" customHeight="1" s="28">
      <c r="A94" s="54" t="n"/>
      <c r="B94" s="54" t="n"/>
      <c r="C94" s="54" t="n"/>
      <c r="D94" s="54" t="n"/>
      <c r="E94" s="54" t="n"/>
      <c r="F94" s="54" t="n"/>
      <c r="G94" s="54" t="n"/>
      <c r="H94" s="54" t="n"/>
      <c r="I94" s="54" t="n"/>
      <c r="J94" s="54" t="n"/>
      <c r="K94" s="54" t="n"/>
      <c r="L94" s="54" t="n"/>
      <c r="M94" s="46">
        <f>IF($A94="","",LOWER(TRIM(SUBSTITUTE(SUBSTITUTE(SUBSTITUTE(SUBSTITUTE(SUBSTITUTE(SUBSTITUTE(SUBSTITUTE(SUBSTITUTE(SUBSTITUTE(SUBSTITUTE(SUBSTITUTE(C94,".",""),",",""),";",""),":",""),"!",""),"?",""),"""",""),"'",""),"’",""),"“",""),"”",""))))</f>
        <v/>
      </c>
      <c r="N94" s="46">
        <f>IF($A94="","",SUBSTITUTE(SUBSTITUTE(LOWER(TRIM(SUBSTITUTE(SUBSTITUTE(SUBSTITUTE(SUBSTITUTE(SUBSTITUTE(SUBSTITUTE(SUBSTITUTE(SUBSTITUTE(SUBSTITUTE(SUBSTITUTE(SUBSTITUTE(D94,".",""),",",""),";",""),":",""),"!",""),"?",""),"""",""),"'",""),"’",""),"“",""),"”","")))," |","|"),"| ","|"))</f>
        <v/>
      </c>
      <c r="O94" s="46">
        <f>IF($A94="","",LOWER(TRIM(SUBSTITUTE(SUBSTITUTE(SUBSTITUTE(SUBSTITUTE(SUBSTITUTE(SUBSTITUTE(SUBSTITUTE(SUBSTITUTE(SUBSTITUTE(SUBSTITUTE(SUBSTITUTE(E94,".",""),",",""),";",""),":",""),"!",""),"?",""),"""",""),"'",""),"’",""),"“",""),"”",""))))</f>
        <v/>
      </c>
      <c r="P94" s="46">
        <f>IF($A94="","",LOWER(TRIM(SUBSTITUTE(SUBSTITUTE(SUBSTITUTE(SUBSTITUTE(SUBSTITUTE(SUBSTITUTE(SUBSTITUTE(SUBSTITUTE(SUBSTITUTE(SUBSTITUTE(SUBSTITUTE(F94,".",""),",",""),";",""),":",""),"!",""),"?",""),"""",""),"'",""),"’",""),"“",""),"”",""))))</f>
        <v/>
      </c>
      <c r="Q94" s="46">
        <f>IF($A94="","",LOWER(TRIM(SUBSTITUTE(SUBSTITUTE(SUBSTITUTE(SUBSTITUTE(SUBSTITUTE(SUBSTITUTE(SUBSTITUTE(SUBSTITUTE(SUBSTITUTE(SUBSTITUTE(SUBSTITUTE(G94,".",""),",",""),";",""),":",""),"!",""),"?",""),"""",""),"'",""),"’",""),"“",""),"”",""))))</f>
        <v/>
      </c>
      <c r="R94" s="46">
        <f>IF($A94="","",LEN(O94))</f>
        <v/>
      </c>
      <c r="S94" s="46">
        <f>IF($A94="","",IF(O94="",0,LEN(O94)-LEN(SUBSTITUTE(O94," ",""))+1))</f>
        <v/>
      </c>
      <c r="T94" s="46">
        <f>IF($A94="","",IF(AND(O94&lt;&gt;"",OR(O94=M94,AND(N94&lt;&gt;"",ISNUMBER(FIND("|"&amp;O94&amp;"|","|"&amp;N94&amp;"|"))))),1,0))</f>
        <v/>
      </c>
      <c r="U94" s="46">
        <f>IF($A94="","",IF(AND(Q94&lt;&gt;"",OR(Q94=M94,AND(N94&lt;&gt;"",ISNUMBER(FIND("|"&amp;Q94&amp;"|","|"&amp;N94&amp;"|"))))),1,0))</f>
        <v/>
      </c>
      <c r="V94" s="46">
        <f>IF($A94="","",IF(P94=O94,1,0))</f>
        <v/>
      </c>
      <c r="W94" s="46">
        <f>IF($A94="","",IF(Q94=O94,1,0))</f>
        <v/>
      </c>
      <c r="X94" s="46">
        <f>IF(OR($A94="",$H94=""),"",IF(AND($H94=1,T94=1),"TA",IF(AND($H94=0,T94=1),"FA",IF($H94=1,"FR","TR"))))</f>
        <v/>
      </c>
      <c r="Y94" s="46">
        <f>IF(OR($A94="",$H94=""),"",IF(AND($H94=1,U94=1),"TA",IF(AND($H94=0,U94=1),"FA",IF($H94=1,"FR","TR"))))</f>
        <v/>
      </c>
    </row>
    <row r="95" ht="15" customHeight="1" s="28">
      <c r="A95" s="54" t="n"/>
      <c r="B95" s="54" t="n"/>
      <c r="C95" s="54" t="n"/>
      <c r="D95" s="54" t="n"/>
      <c r="E95" s="54" t="n"/>
      <c r="F95" s="54" t="n"/>
      <c r="G95" s="54" t="n"/>
      <c r="H95" s="54" t="n"/>
      <c r="I95" s="54" t="n"/>
      <c r="J95" s="54" t="n"/>
      <c r="K95" s="54" t="n"/>
      <c r="L95" s="54" t="n"/>
      <c r="M95" s="46">
        <f>IF($A95="","",LOWER(TRIM(SUBSTITUTE(SUBSTITUTE(SUBSTITUTE(SUBSTITUTE(SUBSTITUTE(SUBSTITUTE(SUBSTITUTE(SUBSTITUTE(SUBSTITUTE(SUBSTITUTE(SUBSTITUTE(C95,".",""),",",""),";",""),":",""),"!",""),"?",""),"""",""),"'",""),"’",""),"“",""),"”",""))))</f>
        <v/>
      </c>
      <c r="N95" s="46">
        <f>IF($A95="","",SUBSTITUTE(SUBSTITUTE(LOWER(TRIM(SUBSTITUTE(SUBSTITUTE(SUBSTITUTE(SUBSTITUTE(SUBSTITUTE(SUBSTITUTE(SUBSTITUTE(SUBSTITUTE(SUBSTITUTE(SUBSTITUTE(SUBSTITUTE(D95,".",""),",",""),";",""),":",""),"!",""),"?",""),"""",""),"'",""),"’",""),"“",""),"”","")))," |","|"),"| ","|"))</f>
        <v/>
      </c>
      <c r="O95" s="46">
        <f>IF($A95="","",LOWER(TRIM(SUBSTITUTE(SUBSTITUTE(SUBSTITUTE(SUBSTITUTE(SUBSTITUTE(SUBSTITUTE(SUBSTITUTE(SUBSTITUTE(SUBSTITUTE(SUBSTITUTE(SUBSTITUTE(E95,".",""),",",""),";",""),":",""),"!",""),"?",""),"""",""),"'",""),"’",""),"“",""),"”",""))))</f>
        <v/>
      </c>
      <c r="P95" s="46">
        <f>IF($A95="","",LOWER(TRIM(SUBSTITUTE(SUBSTITUTE(SUBSTITUTE(SUBSTITUTE(SUBSTITUTE(SUBSTITUTE(SUBSTITUTE(SUBSTITUTE(SUBSTITUTE(SUBSTITUTE(SUBSTITUTE(F95,".",""),",",""),";",""),":",""),"!",""),"?",""),"""",""),"'",""),"’",""),"“",""),"”",""))))</f>
        <v/>
      </c>
      <c r="Q95" s="46">
        <f>IF($A95="","",LOWER(TRIM(SUBSTITUTE(SUBSTITUTE(SUBSTITUTE(SUBSTITUTE(SUBSTITUTE(SUBSTITUTE(SUBSTITUTE(SUBSTITUTE(SUBSTITUTE(SUBSTITUTE(SUBSTITUTE(G95,".",""),",",""),";",""),":",""),"!",""),"?",""),"""",""),"'",""),"’",""),"“",""),"”",""))))</f>
        <v/>
      </c>
      <c r="R95" s="46">
        <f>IF($A95="","",LEN(O95))</f>
        <v/>
      </c>
      <c r="S95" s="46">
        <f>IF($A95="","",IF(O95="",0,LEN(O95)-LEN(SUBSTITUTE(O95," ",""))+1))</f>
        <v/>
      </c>
      <c r="T95" s="46">
        <f>IF($A95="","",IF(AND(O95&lt;&gt;"",OR(O95=M95,AND(N95&lt;&gt;"",ISNUMBER(FIND("|"&amp;O95&amp;"|","|"&amp;N95&amp;"|"))))),1,0))</f>
        <v/>
      </c>
      <c r="U95" s="46">
        <f>IF($A95="","",IF(AND(Q95&lt;&gt;"",OR(Q95=M95,AND(N95&lt;&gt;"",ISNUMBER(FIND("|"&amp;Q95&amp;"|","|"&amp;N95&amp;"|"))))),1,0))</f>
        <v/>
      </c>
      <c r="V95" s="46">
        <f>IF($A95="","",IF(P95=O95,1,0))</f>
        <v/>
      </c>
      <c r="W95" s="46">
        <f>IF($A95="","",IF(Q95=O95,1,0))</f>
        <v/>
      </c>
      <c r="X95" s="46">
        <f>IF(OR($A95="",$H95=""),"",IF(AND($H95=1,T95=1),"TA",IF(AND($H95=0,T95=1),"FA",IF($H95=1,"FR","TR"))))</f>
        <v/>
      </c>
      <c r="Y95" s="46">
        <f>IF(OR($A95="",$H95=""),"",IF(AND($H95=1,U95=1),"TA",IF(AND($H95=0,U95=1),"FA",IF($H95=1,"FR","TR"))))</f>
        <v/>
      </c>
    </row>
    <row r="96" ht="15" customHeight="1" s="28">
      <c r="A96" s="54" t="n"/>
      <c r="B96" s="54" t="n"/>
      <c r="C96" s="54" t="n"/>
      <c r="D96" s="54" t="n"/>
      <c r="E96" s="54" t="n"/>
      <c r="F96" s="54" t="n"/>
      <c r="G96" s="54" t="n"/>
      <c r="H96" s="54" t="n"/>
      <c r="I96" s="54" t="n"/>
      <c r="J96" s="54" t="n"/>
      <c r="K96" s="54" t="n"/>
      <c r="L96" s="54" t="n"/>
      <c r="M96" s="46">
        <f>IF($A96="","",LOWER(TRIM(SUBSTITUTE(SUBSTITUTE(SUBSTITUTE(SUBSTITUTE(SUBSTITUTE(SUBSTITUTE(SUBSTITUTE(SUBSTITUTE(SUBSTITUTE(SUBSTITUTE(SUBSTITUTE(C96,".",""),",",""),";",""),":",""),"!",""),"?",""),"""",""),"'",""),"’",""),"“",""),"”",""))))</f>
        <v/>
      </c>
      <c r="N96" s="46">
        <f>IF($A96="","",SUBSTITUTE(SUBSTITUTE(LOWER(TRIM(SUBSTITUTE(SUBSTITUTE(SUBSTITUTE(SUBSTITUTE(SUBSTITUTE(SUBSTITUTE(SUBSTITUTE(SUBSTITUTE(SUBSTITUTE(SUBSTITUTE(SUBSTITUTE(D96,".",""),",",""),";",""),":",""),"!",""),"?",""),"""",""),"'",""),"’",""),"“",""),"”","")))," |","|"),"| ","|"))</f>
        <v/>
      </c>
      <c r="O96" s="46">
        <f>IF($A96="","",LOWER(TRIM(SUBSTITUTE(SUBSTITUTE(SUBSTITUTE(SUBSTITUTE(SUBSTITUTE(SUBSTITUTE(SUBSTITUTE(SUBSTITUTE(SUBSTITUTE(SUBSTITUTE(SUBSTITUTE(E96,".",""),",",""),";",""),":",""),"!",""),"?",""),"""",""),"'",""),"’",""),"“",""),"”",""))))</f>
        <v/>
      </c>
      <c r="P96" s="46">
        <f>IF($A96="","",LOWER(TRIM(SUBSTITUTE(SUBSTITUTE(SUBSTITUTE(SUBSTITUTE(SUBSTITUTE(SUBSTITUTE(SUBSTITUTE(SUBSTITUTE(SUBSTITUTE(SUBSTITUTE(SUBSTITUTE(F96,".",""),",",""),";",""),":",""),"!",""),"?",""),"""",""),"'",""),"’",""),"“",""),"”",""))))</f>
        <v/>
      </c>
      <c r="Q96" s="46">
        <f>IF($A96="","",LOWER(TRIM(SUBSTITUTE(SUBSTITUTE(SUBSTITUTE(SUBSTITUTE(SUBSTITUTE(SUBSTITUTE(SUBSTITUTE(SUBSTITUTE(SUBSTITUTE(SUBSTITUTE(SUBSTITUTE(G96,".",""),",",""),";",""),":",""),"!",""),"?",""),"""",""),"'",""),"’",""),"“",""),"”",""))))</f>
        <v/>
      </c>
      <c r="R96" s="46">
        <f>IF($A96="","",LEN(O96))</f>
        <v/>
      </c>
      <c r="S96" s="46">
        <f>IF($A96="","",IF(O96="",0,LEN(O96)-LEN(SUBSTITUTE(O96," ",""))+1))</f>
        <v/>
      </c>
      <c r="T96" s="46">
        <f>IF($A96="","",IF(AND(O96&lt;&gt;"",OR(O96=M96,AND(N96&lt;&gt;"",ISNUMBER(FIND("|"&amp;O96&amp;"|","|"&amp;N96&amp;"|"))))),1,0))</f>
        <v/>
      </c>
      <c r="U96" s="46">
        <f>IF($A96="","",IF(AND(Q96&lt;&gt;"",OR(Q96=M96,AND(N96&lt;&gt;"",ISNUMBER(FIND("|"&amp;Q96&amp;"|","|"&amp;N96&amp;"|"))))),1,0))</f>
        <v/>
      </c>
      <c r="V96" s="46">
        <f>IF($A96="","",IF(P96=O96,1,0))</f>
        <v/>
      </c>
      <c r="W96" s="46">
        <f>IF($A96="","",IF(Q96=O96,1,0))</f>
        <v/>
      </c>
      <c r="X96" s="46">
        <f>IF(OR($A96="",$H96=""),"",IF(AND($H96=1,T96=1),"TA",IF(AND($H96=0,T96=1),"FA",IF($H96=1,"FR","TR"))))</f>
        <v/>
      </c>
      <c r="Y96" s="46">
        <f>IF(OR($A96="",$H96=""),"",IF(AND($H96=1,U96=1),"TA",IF(AND($H96=0,U96=1),"FA",IF($H96=1,"FR","TR"))))</f>
        <v/>
      </c>
    </row>
    <row r="97" ht="15" customHeight="1" s="28">
      <c r="A97" s="54" t="n"/>
      <c r="B97" s="54" t="n"/>
      <c r="C97" s="54" t="n"/>
      <c r="D97" s="54" t="n"/>
      <c r="E97" s="54" t="n"/>
      <c r="F97" s="54" t="n"/>
      <c r="G97" s="54" t="n"/>
      <c r="H97" s="54" t="n"/>
      <c r="I97" s="54" t="n"/>
      <c r="J97" s="54" t="n"/>
      <c r="K97" s="54" t="n"/>
      <c r="L97" s="54" t="n"/>
      <c r="M97" s="46">
        <f>IF($A97="","",LOWER(TRIM(SUBSTITUTE(SUBSTITUTE(SUBSTITUTE(SUBSTITUTE(SUBSTITUTE(SUBSTITUTE(SUBSTITUTE(SUBSTITUTE(SUBSTITUTE(SUBSTITUTE(SUBSTITUTE(C97,".",""),",",""),";",""),":",""),"!",""),"?",""),"""",""),"'",""),"’",""),"“",""),"”",""))))</f>
        <v/>
      </c>
      <c r="N97" s="46">
        <f>IF($A97="","",SUBSTITUTE(SUBSTITUTE(LOWER(TRIM(SUBSTITUTE(SUBSTITUTE(SUBSTITUTE(SUBSTITUTE(SUBSTITUTE(SUBSTITUTE(SUBSTITUTE(SUBSTITUTE(SUBSTITUTE(SUBSTITUTE(SUBSTITUTE(D97,".",""),",",""),";",""),":",""),"!",""),"?",""),"""",""),"'",""),"’",""),"“",""),"”","")))," |","|"),"| ","|"))</f>
        <v/>
      </c>
      <c r="O97" s="46">
        <f>IF($A97="","",LOWER(TRIM(SUBSTITUTE(SUBSTITUTE(SUBSTITUTE(SUBSTITUTE(SUBSTITUTE(SUBSTITUTE(SUBSTITUTE(SUBSTITUTE(SUBSTITUTE(SUBSTITUTE(SUBSTITUTE(E97,".",""),",",""),";",""),":",""),"!",""),"?",""),"""",""),"'",""),"’",""),"“",""),"”",""))))</f>
        <v/>
      </c>
      <c r="P97" s="46">
        <f>IF($A97="","",LOWER(TRIM(SUBSTITUTE(SUBSTITUTE(SUBSTITUTE(SUBSTITUTE(SUBSTITUTE(SUBSTITUTE(SUBSTITUTE(SUBSTITUTE(SUBSTITUTE(SUBSTITUTE(SUBSTITUTE(F97,".",""),",",""),";",""),":",""),"!",""),"?",""),"""",""),"'",""),"’",""),"“",""),"”",""))))</f>
        <v/>
      </c>
      <c r="Q97" s="46">
        <f>IF($A97="","",LOWER(TRIM(SUBSTITUTE(SUBSTITUTE(SUBSTITUTE(SUBSTITUTE(SUBSTITUTE(SUBSTITUTE(SUBSTITUTE(SUBSTITUTE(SUBSTITUTE(SUBSTITUTE(SUBSTITUTE(G97,".",""),",",""),";",""),":",""),"!",""),"?",""),"""",""),"'",""),"’",""),"“",""),"”",""))))</f>
        <v/>
      </c>
      <c r="R97" s="46">
        <f>IF($A97="","",LEN(O97))</f>
        <v/>
      </c>
      <c r="S97" s="46">
        <f>IF($A97="","",IF(O97="",0,LEN(O97)-LEN(SUBSTITUTE(O97," ",""))+1))</f>
        <v/>
      </c>
      <c r="T97" s="46">
        <f>IF($A97="","",IF(AND(O97&lt;&gt;"",OR(O97=M97,AND(N97&lt;&gt;"",ISNUMBER(FIND("|"&amp;O97&amp;"|","|"&amp;N97&amp;"|"))))),1,0))</f>
        <v/>
      </c>
      <c r="U97" s="46">
        <f>IF($A97="","",IF(AND(Q97&lt;&gt;"",OR(Q97=M97,AND(N97&lt;&gt;"",ISNUMBER(FIND("|"&amp;Q97&amp;"|","|"&amp;N97&amp;"|"))))),1,0))</f>
        <v/>
      </c>
      <c r="V97" s="46">
        <f>IF($A97="","",IF(P97=O97,1,0))</f>
        <v/>
      </c>
      <c r="W97" s="46">
        <f>IF($A97="","",IF(Q97=O97,1,0))</f>
        <v/>
      </c>
      <c r="X97" s="46">
        <f>IF(OR($A97="",$H97=""),"",IF(AND($H97=1,T97=1),"TA",IF(AND($H97=0,T97=1),"FA",IF($H97=1,"FR","TR"))))</f>
        <v/>
      </c>
      <c r="Y97" s="46">
        <f>IF(OR($A97="",$H97=""),"",IF(AND($H97=1,U97=1),"TA",IF(AND($H97=0,U97=1),"FA",IF($H97=1,"FR","TR"))))</f>
        <v/>
      </c>
    </row>
    <row r="98" ht="15" customHeight="1" s="28">
      <c r="A98" s="54" t="n"/>
      <c r="B98" s="54" t="n"/>
      <c r="C98" s="54" t="n"/>
      <c r="D98" s="54" t="n"/>
      <c r="E98" s="54" t="n"/>
      <c r="F98" s="54" t="n"/>
      <c r="G98" s="54" t="n"/>
      <c r="H98" s="54" t="n"/>
      <c r="I98" s="54" t="n"/>
      <c r="J98" s="54" t="n"/>
      <c r="K98" s="54" t="n"/>
      <c r="L98" s="54" t="n"/>
      <c r="M98" s="46">
        <f>IF($A98="","",LOWER(TRIM(SUBSTITUTE(SUBSTITUTE(SUBSTITUTE(SUBSTITUTE(SUBSTITUTE(SUBSTITUTE(SUBSTITUTE(SUBSTITUTE(SUBSTITUTE(SUBSTITUTE(SUBSTITUTE(C98,".",""),",",""),";",""),":",""),"!",""),"?",""),"""",""),"'",""),"’",""),"“",""),"”",""))))</f>
        <v/>
      </c>
      <c r="N98" s="46">
        <f>IF($A98="","",SUBSTITUTE(SUBSTITUTE(LOWER(TRIM(SUBSTITUTE(SUBSTITUTE(SUBSTITUTE(SUBSTITUTE(SUBSTITUTE(SUBSTITUTE(SUBSTITUTE(SUBSTITUTE(SUBSTITUTE(SUBSTITUTE(SUBSTITUTE(D98,".",""),",",""),";",""),":",""),"!",""),"?",""),"""",""),"'",""),"’",""),"“",""),"”","")))," |","|"),"| ","|"))</f>
        <v/>
      </c>
      <c r="O98" s="46">
        <f>IF($A98="","",LOWER(TRIM(SUBSTITUTE(SUBSTITUTE(SUBSTITUTE(SUBSTITUTE(SUBSTITUTE(SUBSTITUTE(SUBSTITUTE(SUBSTITUTE(SUBSTITUTE(SUBSTITUTE(SUBSTITUTE(E98,".",""),",",""),";",""),":",""),"!",""),"?",""),"""",""),"'",""),"’",""),"“",""),"”",""))))</f>
        <v/>
      </c>
      <c r="P98" s="46">
        <f>IF($A98="","",LOWER(TRIM(SUBSTITUTE(SUBSTITUTE(SUBSTITUTE(SUBSTITUTE(SUBSTITUTE(SUBSTITUTE(SUBSTITUTE(SUBSTITUTE(SUBSTITUTE(SUBSTITUTE(SUBSTITUTE(F98,".",""),",",""),";",""),":",""),"!",""),"?",""),"""",""),"'",""),"’",""),"“",""),"”",""))))</f>
        <v/>
      </c>
      <c r="Q98" s="46">
        <f>IF($A98="","",LOWER(TRIM(SUBSTITUTE(SUBSTITUTE(SUBSTITUTE(SUBSTITUTE(SUBSTITUTE(SUBSTITUTE(SUBSTITUTE(SUBSTITUTE(SUBSTITUTE(SUBSTITUTE(SUBSTITUTE(G98,".",""),",",""),";",""),":",""),"!",""),"?",""),"""",""),"'",""),"’",""),"“",""),"”",""))))</f>
        <v/>
      </c>
      <c r="R98" s="46">
        <f>IF($A98="","",LEN(O98))</f>
        <v/>
      </c>
      <c r="S98" s="46">
        <f>IF($A98="","",IF(O98="",0,LEN(O98)-LEN(SUBSTITUTE(O98," ",""))+1))</f>
        <v/>
      </c>
      <c r="T98" s="46">
        <f>IF($A98="","",IF(AND(O98&lt;&gt;"",OR(O98=M98,AND(N98&lt;&gt;"",ISNUMBER(FIND("|"&amp;O98&amp;"|","|"&amp;N98&amp;"|"))))),1,0))</f>
        <v/>
      </c>
      <c r="U98" s="46">
        <f>IF($A98="","",IF(AND(Q98&lt;&gt;"",OR(Q98=M98,AND(N98&lt;&gt;"",ISNUMBER(FIND("|"&amp;Q98&amp;"|","|"&amp;N98&amp;"|"))))),1,0))</f>
        <v/>
      </c>
      <c r="V98" s="46">
        <f>IF($A98="","",IF(P98=O98,1,0))</f>
        <v/>
      </c>
      <c r="W98" s="46">
        <f>IF($A98="","",IF(Q98=O98,1,0))</f>
        <v/>
      </c>
      <c r="X98" s="46">
        <f>IF(OR($A98="",$H98=""),"",IF(AND($H98=1,T98=1),"TA",IF(AND($H98=0,T98=1),"FA",IF($H98=1,"FR","TR"))))</f>
        <v/>
      </c>
      <c r="Y98" s="46">
        <f>IF(OR($A98="",$H98=""),"",IF(AND($H98=1,U98=1),"TA",IF(AND($H98=0,U98=1),"FA",IF($H98=1,"FR","TR"))))</f>
        <v/>
      </c>
    </row>
    <row r="99" ht="15" customHeight="1" s="28">
      <c r="A99" s="54" t="n"/>
      <c r="B99" s="54" t="n"/>
      <c r="C99" s="54" t="n"/>
      <c r="D99" s="54" t="n"/>
      <c r="E99" s="54" t="n"/>
      <c r="F99" s="54" t="n"/>
      <c r="G99" s="54" t="n"/>
      <c r="H99" s="54" t="n"/>
      <c r="I99" s="54" t="n"/>
      <c r="J99" s="54" t="n"/>
      <c r="K99" s="54" t="n"/>
      <c r="L99" s="54" t="n"/>
      <c r="M99" s="46">
        <f>IF($A99="","",LOWER(TRIM(SUBSTITUTE(SUBSTITUTE(SUBSTITUTE(SUBSTITUTE(SUBSTITUTE(SUBSTITUTE(SUBSTITUTE(SUBSTITUTE(SUBSTITUTE(SUBSTITUTE(SUBSTITUTE(C99,".",""),",",""),";",""),":",""),"!",""),"?",""),"""",""),"'",""),"’",""),"“",""),"”",""))))</f>
        <v/>
      </c>
      <c r="N99" s="46">
        <f>IF($A99="","",SUBSTITUTE(SUBSTITUTE(LOWER(TRIM(SUBSTITUTE(SUBSTITUTE(SUBSTITUTE(SUBSTITUTE(SUBSTITUTE(SUBSTITUTE(SUBSTITUTE(SUBSTITUTE(SUBSTITUTE(SUBSTITUTE(SUBSTITUTE(D99,".",""),",",""),";",""),":",""),"!",""),"?",""),"""",""),"'",""),"’",""),"“",""),"”","")))," |","|"),"| ","|"))</f>
        <v/>
      </c>
      <c r="O99" s="46">
        <f>IF($A99="","",LOWER(TRIM(SUBSTITUTE(SUBSTITUTE(SUBSTITUTE(SUBSTITUTE(SUBSTITUTE(SUBSTITUTE(SUBSTITUTE(SUBSTITUTE(SUBSTITUTE(SUBSTITUTE(SUBSTITUTE(E99,".",""),",",""),";",""),":",""),"!",""),"?",""),"""",""),"'",""),"’",""),"“",""),"”",""))))</f>
        <v/>
      </c>
      <c r="P99" s="46">
        <f>IF($A99="","",LOWER(TRIM(SUBSTITUTE(SUBSTITUTE(SUBSTITUTE(SUBSTITUTE(SUBSTITUTE(SUBSTITUTE(SUBSTITUTE(SUBSTITUTE(SUBSTITUTE(SUBSTITUTE(SUBSTITUTE(F99,".",""),",",""),";",""),":",""),"!",""),"?",""),"""",""),"'",""),"’",""),"“",""),"”",""))))</f>
        <v/>
      </c>
      <c r="Q99" s="46">
        <f>IF($A99="","",LOWER(TRIM(SUBSTITUTE(SUBSTITUTE(SUBSTITUTE(SUBSTITUTE(SUBSTITUTE(SUBSTITUTE(SUBSTITUTE(SUBSTITUTE(SUBSTITUTE(SUBSTITUTE(SUBSTITUTE(G99,".",""),",",""),";",""),":",""),"!",""),"?",""),"""",""),"'",""),"’",""),"“",""),"”",""))))</f>
        <v/>
      </c>
      <c r="R99" s="46">
        <f>IF($A99="","",LEN(O99))</f>
        <v/>
      </c>
      <c r="S99" s="46">
        <f>IF($A99="","",IF(O99="",0,LEN(O99)-LEN(SUBSTITUTE(O99," ",""))+1))</f>
        <v/>
      </c>
      <c r="T99" s="46">
        <f>IF($A99="","",IF(AND(O99&lt;&gt;"",OR(O99=M99,AND(N99&lt;&gt;"",ISNUMBER(FIND("|"&amp;O99&amp;"|","|"&amp;N99&amp;"|"))))),1,0))</f>
        <v/>
      </c>
      <c r="U99" s="46">
        <f>IF($A99="","",IF(AND(Q99&lt;&gt;"",OR(Q99=M99,AND(N99&lt;&gt;"",ISNUMBER(FIND("|"&amp;Q99&amp;"|","|"&amp;N99&amp;"|"))))),1,0))</f>
        <v/>
      </c>
      <c r="V99" s="46">
        <f>IF($A99="","",IF(P99=O99,1,0))</f>
        <v/>
      </c>
      <c r="W99" s="46">
        <f>IF($A99="","",IF(Q99=O99,1,0))</f>
        <v/>
      </c>
      <c r="X99" s="46">
        <f>IF(OR($A99="",$H99=""),"",IF(AND($H99=1,T99=1),"TA",IF(AND($H99=0,T99=1),"FA",IF($H99=1,"FR","TR"))))</f>
        <v/>
      </c>
      <c r="Y99" s="46">
        <f>IF(OR($A99="",$H99=""),"",IF(AND($H99=1,U99=1),"TA",IF(AND($H99=0,U99=1),"FA",IF($H99=1,"FR","TR"))))</f>
        <v/>
      </c>
    </row>
    <row r="100" ht="15" customHeight="1" s="28">
      <c r="A100" s="54" t="n"/>
      <c r="B100" s="54" t="n"/>
      <c r="C100" s="54" t="n"/>
      <c r="D100" s="54" t="n"/>
      <c r="E100" s="54" t="n"/>
      <c r="F100" s="54" t="n"/>
      <c r="G100" s="54" t="n"/>
      <c r="H100" s="54" t="n"/>
      <c r="I100" s="54" t="n"/>
      <c r="J100" s="54" t="n"/>
      <c r="K100" s="54" t="n"/>
      <c r="L100" s="54" t="n"/>
      <c r="M100" s="46">
        <f>IF($A100="","",LOWER(TRIM(SUBSTITUTE(SUBSTITUTE(SUBSTITUTE(SUBSTITUTE(SUBSTITUTE(SUBSTITUTE(SUBSTITUTE(SUBSTITUTE(SUBSTITUTE(SUBSTITUTE(SUBSTITUTE(C100,".",""),",",""),";",""),":",""),"!",""),"?",""),"""",""),"'",""),"’",""),"“",""),"”",""))))</f>
        <v/>
      </c>
      <c r="N100" s="46">
        <f>IF($A100="","",SUBSTITUTE(SUBSTITUTE(LOWER(TRIM(SUBSTITUTE(SUBSTITUTE(SUBSTITUTE(SUBSTITUTE(SUBSTITUTE(SUBSTITUTE(SUBSTITUTE(SUBSTITUTE(SUBSTITUTE(SUBSTITUTE(SUBSTITUTE(D100,".",""),",",""),";",""),":",""),"!",""),"?",""),"""",""),"'",""),"’",""),"“",""),"”","")))," |","|"),"| ","|"))</f>
        <v/>
      </c>
      <c r="O100" s="46">
        <f>IF($A100="","",LOWER(TRIM(SUBSTITUTE(SUBSTITUTE(SUBSTITUTE(SUBSTITUTE(SUBSTITUTE(SUBSTITUTE(SUBSTITUTE(SUBSTITUTE(SUBSTITUTE(SUBSTITUTE(SUBSTITUTE(E100,".",""),",",""),";",""),":",""),"!",""),"?",""),"""",""),"'",""),"’",""),"“",""),"”",""))))</f>
        <v/>
      </c>
      <c r="P100" s="46">
        <f>IF($A100="","",LOWER(TRIM(SUBSTITUTE(SUBSTITUTE(SUBSTITUTE(SUBSTITUTE(SUBSTITUTE(SUBSTITUTE(SUBSTITUTE(SUBSTITUTE(SUBSTITUTE(SUBSTITUTE(SUBSTITUTE(F100,".",""),",",""),";",""),":",""),"!",""),"?",""),"""",""),"'",""),"’",""),"“",""),"”",""))))</f>
        <v/>
      </c>
      <c r="Q100" s="46">
        <f>IF($A100="","",LOWER(TRIM(SUBSTITUTE(SUBSTITUTE(SUBSTITUTE(SUBSTITUTE(SUBSTITUTE(SUBSTITUTE(SUBSTITUTE(SUBSTITUTE(SUBSTITUTE(SUBSTITUTE(SUBSTITUTE(G100,".",""),",",""),";",""),":",""),"!",""),"?",""),"""",""),"'",""),"’",""),"“",""),"”",""))))</f>
        <v/>
      </c>
      <c r="R100" s="46">
        <f>IF($A100="","",LEN(O100))</f>
        <v/>
      </c>
      <c r="S100" s="46">
        <f>IF($A100="","",IF(O100="",0,LEN(O100)-LEN(SUBSTITUTE(O100," ",""))+1))</f>
        <v/>
      </c>
      <c r="T100" s="46">
        <f>IF($A100="","",IF(AND(O100&lt;&gt;"",OR(O100=M100,AND(N100&lt;&gt;"",ISNUMBER(FIND("|"&amp;O100&amp;"|","|"&amp;N100&amp;"|"))))),1,0))</f>
        <v/>
      </c>
      <c r="U100" s="46">
        <f>IF($A100="","",IF(AND(Q100&lt;&gt;"",OR(Q100=M100,AND(N100&lt;&gt;"",ISNUMBER(FIND("|"&amp;Q100&amp;"|","|"&amp;N100&amp;"|"))))),1,0))</f>
        <v/>
      </c>
      <c r="V100" s="46">
        <f>IF($A100="","",IF(P100=O100,1,0))</f>
        <v/>
      </c>
      <c r="W100" s="46">
        <f>IF($A100="","",IF(Q100=O100,1,0))</f>
        <v/>
      </c>
      <c r="X100" s="46">
        <f>IF(OR($A100="",$H100=""),"",IF(AND($H100=1,T100=1),"TA",IF(AND($H100=0,T100=1),"FA",IF($H100=1,"FR","TR"))))</f>
        <v/>
      </c>
      <c r="Y100" s="46">
        <f>IF(OR($A100="",$H100=""),"",IF(AND($H100=1,U100=1),"TA",IF(AND($H100=0,U100=1),"FA",IF($H100=1,"FR","TR"))))</f>
        <v/>
      </c>
    </row>
    <row r="101" ht="15" customHeight="1" s="28">
      <c r="A101" s="54" t="n"/>
      <c r="B101" s="54" t="n"/>
      <c r="C101" s="54" t="n"/>
      <c r="D101" s="54" t="n"/>
      <c r="E101" s="54" t="n"/>
      <c r="F101" s="54" t="n"/>
      <c r="G101" s="54" t="n"/>
      <c r="H101" s="54" t="n"/>
      <c r="I101" s="54" t="n"/>
      <c r="J101" s="54" t="n"/>
      <c r="K101" s="54" t="n"/>
      <c r="L101" s="54" t="n"/>
      <c r="M101" s="46">
        <f>IF($A101="","",LOWER(TRIM(SUBSTITUTE(SUBSTITUTE(SUBSTITUTE(SUBSTITUTE(SUBSTITUTE(SUBSTITUTE(SUBSTITUTE(SUBSTITUTE(SUBSTITUTE(SUBSTITUTE(SUBSTITUTE(C101,".",""),",",""),";",""),":",""),"!",""),"?",""),"""",""),"'",""),"’",""),"“",""),"”",""))))</f>
        <v/>
      </c>
      <c r="N101" s="46">
        <f>IF($A101="","",SUBSTITUTE(SUBSTITUTE(LOWER(TRIM(SUBSTITUTE(SUBSTITUTE(SUBSTITUTE(SUBSTITUTE(SUBSTITUTE(SUBSTITUTE(SUBSTITUTE(SUBSTITUTE(SUBSTITUTE(SUBSTITUTE(SUBSTITUTE(D101,".",""),",",""),";",""),":",""),"!",""),"?",""),"""",""),"'",""),"’",""),"“",""),"”","")))," |","|"),"| ","|"))</f>
        <v/>
      </c>
      <c r="O101" s="46">
        <f>IF($A101="","",LOWER(TRIM(SUBSTITUTE(SUBSTITUTE(SUBSTITUTE(SUBSTITUTE(SUBSTITUTE(SUBSTITUTE(SUBSTITUTE(SUBSTITUTE(SUBSTITUTE(SUBSTITUTE(SUBSTITUTE(E101,".",""),",",""),";",""),":",""),"!",""),"?",""),"""",""),"'",""),"’",""),"“",""),"”",""))))</f>
        <v/>
      </c>
      <c r="P101" s="46">
        <f>IF($A101="","",LOWER(TRIM(SUBSTITUTE(SUBSTITUTE(SUBSTITUTE(SUBSTITUTE(SUBSTITUTE(SUBSTITUTE(SUBSTITUTE(SUBSTITUTE(SUBSTITUTE(SUBSTITUTE(SUBSTITUTE(F101,".",""),",",""),";",""),":",""),"!",""),"?",""),"""",""),"'",""),"’",""),"“",""),"”",""))))</f>
        <v/>
      </c>
      <c r="Q101" s="46">
        <f>IF($A101="","",LOWER(TRIM(SUBSTITUTE(SUBSTITUTE(SUBSTITUTE(SUBSTITUTE(SUBSTITUTE(SUBSTITUTE(SUBSTITUTE(SUBSTITUTE(SUBSTITUTE(SUBSTITUTE(SUBSTITUTE(G101,".",""),",",""),";",""),":",""),"!",""),"?",""),"""",""),"'",""),"’",""),"“",""),"”",""))))</f>
        <v/>
      </c>
      <c r="R101" s="46">
        <f>IF($A101="","",LEN(O101))</f>
        <v/>
      </c>
      <c r="S101" s="46">
        <f>IF($A101="","",IF(O101="",0,LEN(O101)-LEN(SUBSTITUTE(O101," ",""))+1))</f>
        <v/>
      </c>
      <c r="T101" s="46">
        <f>IF($A101="","",IF(AND(O101&lt;&gt;"",OR(O101=M101,AND(N101&lt;&gt;"",ISNUMBER(FIND("|"&amp;O101&amp;"|","|"&amp;N101&amp;"|"))))),1,0))</f>
        <v/>
      </c>
      <c r="U101" s="46">
        <f>IF($A101="","",IF(AND(Q101&lt;&gt;"",OR(Q101=M101,AND(N101&lt;&gt;"",ISNUMBER(FIND("|"&amp;Q101&amp;"|","|"&amp;N101&amp;"|"))))),1,0))</f>
        <v/>
      </c>
      <c r="V101" s="46">
        <f>IF($A101="","",IF(P101=O101,1,0))</f>
        <v/>
      </c>
      <c r="W101" s="46">
        <f>IF($A101="","",IF(Q101=O101,1,0))</f>
        <v/>
      </c>
      <c r="X101" s="46">
        <f>IF(OR($A101="",$H101=""),"",IF(AND($H101=1,T101=1),"TA",IF(AND($H101=0,T101=1),"FA",IF($H101=1,"FR","TR"))))</f>
        <v/>
      </c>
      <c r="Y101" s="46">
        <f>IF(OR($A101="",$H101=""),"",IF(AND($H101=1,U101=1),"TA",IF(AND($H101=0,U101=1),"FA",IF($H101=1,"FR","TR"))))</f>
        <v/>
      </c>
    </row>
    <row r="102" ht="15" customHeight="1" s="28">
      <c r="A102" s="54" t="n"/>
      <c r="B102" s="54" t="n"/>
      <c r="C102" s="54" t="n"/>
      <c r="D102" s="54" t="n"/>
      <c r="E102" s="54" t="n"/>
      <c r="F102" s="54" t="n"/>
      <c r="G102" s="54" t="n"/>
      <c r="H102" s="54" t="n"/>
      <c r="I102" s="54" t="n"/>
      <c r="J102" s="54" t="n"/>
      <c r="K102" s="54" t="n"/>
      <c r="L102" s="54" t="n"/>
      <c r="M102" s="46">
        <f>IF($A102="","",LOWER(TRIM(SUBSTITUTE(SUBSTITUTE(SUBSTITUTE(SUBSTITUTE(SUBSTITUTE(SUBSTITUTE(SUBSTITUTE(SUBSTITUTE(SUBSTITUTE(SUBSTITUTE(SUBSTITUTE(C102,".",""),",",""),";",""),":",""),"!",""),"?",""),"""",""),"'",""),"’",""),"“",""),"”",""))))</f>
        <v/>
      </c>
      <c r="N102" s="46">
        <f>IF($A102="","",SUBSTITUTE(SUBSTITUTE(LOWER(TRIM(SUBSTITUTE(SUBSTITUTE(SUBSTITUTE(SUBSTITUTE(SUBSTITUTE(SUBSTITUTE(SUBSTITUTE(SUBSTITUTE(SUBSTITUTE(SUBSTITUTE(SUBSTITUTE(D102,".",""),",",""),";",""),":",""),"!",""),"?",""),"""",""),"'",""),"’",""),"“",""),"”","")))," |","|"),"| ","|"))</f>
        <v/>
      </c>
      <c r="O102" s="46">
        <f>IF($A102="","",LOWER(TRIM(SUBSTITUTE(SUBSTITUTE(SUBSTITUTE(SUBSTITUTE(SUBSTITUTE(SUBSTITUTE(SUBSTITUTE(SUBSTITUTE(SUBSTITUTE(SUBSTITUTE(SUBSTITUTE(E102,".",""),",",""),";",""),":",""),"!",""),"?",""),"""",""),"'",""),"’",""),"“",""),"”",""))))</f>
        <v/>
      </c>
      <c r="P102" s="46">
        <f>IF($A102="","",LOWER(TRIM(SUBSTITUTE(SUBSTITUTE(SUBSTITUTE(SUBSTITUTE(SUBSTITUTE(SUBSTITUTE(SUBSTITUTE(SUBSTITUTE(SUBSTITUTE(SUBSTITUTE(SUBSTITUTE(F102,".",""),",",""),";",""),":",""),"!",""),"?",""),"""",""),"'",""),"’",""),"“",""),"”",""))))</f>
        <v/>
      </c>
      <c r="Q102" s="46">
        <f>IF($A102="","",LOWER(TRIM(SUBSTITUTE(SUBSTITUTE(SUBSTITUTE(SUBSTITUTE(SUBSTITUTE(SUBSTITUTE(SUBSTITUTE(SUBSTITUTE(SUBSTITUTE(SUBSTITUTE(SUBSTITUTE(G102,".",""),",",""),";",""),":",""),"!",""),"?",""),"""",""),"'",""),"’",""),"“",""),"”",""))))</f>
        <v/>
      </c>
      <c r="R102" s="46">
        <f>IF($A102="","",LEN(O102))</f>
        <v/>
      </c>
      <c r="S102" s="46">
        <f>IF($A102="","",IF(O102="",0,LEN(O102)-LEN(SUBSTITUTE(O102," ",""))+1))</f>
        <v/>
      </c>
      <c r="T102" s="46">
        <f>IF($A102="","",IF(AND(O102&lt;&gt;"",OR(O102=M102,AND(N102&lt;&gt;"",ISNUMBER(FIND("|"&amp;O102&amp;"|","|"&amp;N102&amp;"|"))))),1,0))</f>
        <v/>
      </c>
      <c r="U102" s="46">
        <f>IF($A102="","",IF(AND(Q102&lt;&gt;"",OR(Q102=M102,AND(N102&lt;&gt;"",ISNUMBER(FIND("|"&amp;Q102&amp;"|","|"&amp;N102&amp;"|"))))),1,0))</f>
        <v/>
      </c>
      <c r="V102" s="46">
        <f>IF($A102="","",IF(P102=O102,1,0))</f>
        <v/>
      </c>
      <c r="W102" s="46">
        <f>IF($A102="","",IF(Q102=O102,1,0))</f>
        <v/>
      </c>
      <c r="X102" s="46">
        <f>IF(OR($A102="",$H102=""),"",IF(AND($H102=1,T102=1),"TA",IF(AND($H102=0,T102=1),"FA",IF($H102=1,"FR","TR"))))</f>
        <v/>
      </c>
      <c r="Y102" s="46">
        <f>IF(OR($A102="",$H102=""),"",IF(AND($H102=1,U102=1),"TA",IF(AND($H102=0,U102=1),"FA",IF($H102=1,"FR","TR"))))</f>
        <v/>
      </c>
    </row>
    <row r="103" ht="15" customHeight="1" s="28">
      <c r="A103" s="54" t="n"/>
      <c r="B103" s="54" t="n"/>
      <c r="C103" s="54" t="n"/>
      <c r="D103" s="54" t="n"/>
      <c r="E103" s="54" t="n"/>
      <c r="F103" s="54" t="n"/>
      <c r="G103" s="54" t="n"/>
      <c r="H103" s="54" t="n"/>
      <c r="I103" s="54" t="n"/>
      <c r="J103" s="54" t="n"/>
      <c r="K103" s="54" t="n"/>
      <c r="L103" s="54" t="n"/>
      <c r="M103" s="46">
        <f>IF($A103="","",LOWER(TRIM(SUBSTITUTE(SUBSTITUTE(SUBSTITUTE(SUBSTITUTE(SUBSTITUTE(SUBSTITUTE(SUBSTITUTE(SUBSTITUTE(SUBSTITUTE(SUBSTITUTE(SUBSTITUTE(C103,".",""),",",""),";",""),":",""),"!",""),"?",""),"""",""),"'",""),"’",""),"“",""),"”",""))))</f>
        <v/>
      </c>
      <c r="N103" s="46">
        <f>IF($A103="","",SUBSTITUTE(SUBSTITUTE(LOWER(TRIM(SUBSTITUTE(SUBSTITUTE(SUBSTITUTE(SUBSTITUTE(SUBSTITUTE(SUBSTITUTE(SUBSTITUTE(SUBSTITUTE(SUBSTITUTE(SUBSTITUTE(SUBSTITUTE(D103,".",""),",",""),";",""),":",""),"!",""),"?",""),"""",""),"'",""),"’",""),"“",""),"”","")))," |","|"),"| ","|"))</f>
        <v/>
      </c>
      <c r="O103" s="46">
        <f>IF($A103="","",LOWER(TRIM(SUBSTITUTE(SUBSTITUTE(SUBSTITUTE(SUBSTITUTE(SUBSTITUTE(SUBSTITUTE(SUBSTITUTE(SUBSTITUTE(SUBSTITUTE(SUBSTITUTE(SUBSTITUTE(E103,".",""),",",""),";",""),":",""),"!",""),"?",""),"""",""),"'",""),"’",""),"“",""),"”",""))))</f>
        <v/>
      </c>
      <c r="P103" s="46">
        <f>IF($A103="","",LOWER(TRIM(SUBSTITUTE(SUBSTITUTE(SUBSTITUTE(SUBSTITUTE(SUBSTITUTE(SUBSTITUTE(SUBSTITUTE(SUBSTITUTE(SUBSTITUTE(SUBSTITUTE(SUBSTITUTE(F103,".",""),",",""),";",""),":",""),"!",""),"?",""),"""",""),"'",""),"’",""),"“",""),"”",""))))</f>
        <v/>
      </c>
      <c r="Q103" s="46">
        <f>IF($A103="","",LOWER(TRIM(SUBSTITUTE(SUBSTITUTE(SUBSTITUTE(SUBSTITUTE(SUBSTITUTE(SUBSTITUTE(SUBSTITUTE(SUBSTITUTE(SUBSTITUTE(SUBSTITUTE(SUBSTITUTE(G103,".",""),",",""),";",""),":",""),"!",""),"?",""),"""",""),"'",""),"’",""),"“",""),"”",""))))</f>
        <v/>
      </c>
      <c r="R103" s="46">
        <f>IF($A103="","",LEN(O103))</f>
        <v/>
      </c>
      <c r="S103" s="46">
        <f>IF($A103="","",IF(O103="",0,LEN(O103)-LEN(SUBSTITUTE(O103," ",""))+1))</f>
        <v/>
      </c>
      <c r="T103" s="46">
        <f>IF($A103="","",IF(AND(O103&lt;&gt;"",OR(O103=M103,AND(N103&lt;&gt;"",ISNUMBER(FIND("|"&amp;O103&amp;"|","|"&amp;N103&amp;"|"))))),1,0))</f>
        <v/>
      </c>
      <c r="U103" s="46">
        <f>IF($A103="","",IF(AND(Q103&lt;&gt;"",OR(Q103=M103,AND(N103&lt;&gt;"",ISNUMBER(FIND("|"&amp;Q103&amp;"|","|"&amp;N103&amp;"|"))))),1,0))</f>
        <v/>
      </c>
      <c r="V103" s="46">
        <f>IF($A103="","",IF(P103=O103,1,0))</f>
        <v/>
      </c>
      <c r="W103" s="46">
        <f>IF($A103="","",IF(Q103=O103,1,0))</f>
        <v/>
      </c>
      <c r="X103" s="46">
        <f>IF(OR($A103="",$H103=""),"",IF(AND($H103=1,T103=1),"TA",IF(AND($H103=0,T103=1),"FA",IF($H103=1,"FR","TR"))))</f>
        <v/>
      </c>
      <c r="Y103" s="46">
        <f>IF(OR($A103="",$H103=""),"",IF(AND($H103=1,U103=1),"TA",IF(AND($H103=0,U103=1),"FA",IF($H103=1,"FR","TR"))))</f>
        <v/>
      </c>
    </row>
    <row r="104" ht="15" customHeight="1" s="28">
      <c r="A104" s="54" t="n"/>
      <c r="B104" s="54" t="n"/>
      <c r="C104" s="54" t="n"/>
      <c r="D104" s="54" t="n"/>
      <c r="E104" s="54" t="n"/>
      <c r="F104" s="54" t="n"/>
      <c r="G104" s="54" t="n"/>
      <c r="H104" s="54" t="n"/>
      <c r="I104" s="54" t="n"/>
      <c r="J104" s="54" t="n"/>
      <c r="K104" s="54" t="n"/>
      <c r="L104" s="54" t="n"/>
      <c r="M104" s="46">
        <f>IF($A104="","",LOWER(TRIM(SUBSTITUTE(SUBSTITUTE(SUBSTITUTE(SUBSTITUTE(SUBSTITUTE(SUBSTITUTE(SUBSTITUTE(SUBSTITUTE(SUBSTITUTE(SUBSTITUTE(SUBSTITUTE(C104,".",""),",",""),";",""),":",""),"!",""),"?",""),"""",""),"'",""),"’",""),"“",""),"”",""))))</f>
        <v/>
      </c>
      <c r="N104" s="46">
        <f>IF($A104="","",SUBSTITUTE(SUBSTITUTE(LOWER(TRIM(SUBSTITUTE(SUBSTITUTE(SUBSTITUTE(SUBSTITUTE(SUBSTITUTE(SUBSTITUTE(SUBSTITUTE(SUBSTITUTE(SUBSTITUTE(SUBSTITUTE(SUBSTITUTE(D104,".",""),",",""),";",""),":",""),"!",""),"?",""),"""",""),"'",""),"’",""),"“",""),"”","")))," |","|"),"| ","|"))</f>
        <v/>
      </c>
      <c r="O104" s="46">
        <f>IF($A104="","",LOWER(TRIM(SUBSTITUTE(SUBSTITUTE(SUBSTITUTE(SUBSTITUTE(SUBSTITUTE(SUBSTITUTE(SUBSTITUTE(SUBSTITUTE(SUBSTITUTE(SUBSTITUTE(SUBSTITUTE(E104,".",""),",",""),";",""),":",""),"!",""),"?",""),"""",""),"'",""),"’",""),"“",""),"”",""))))</f>
        <v/>
      </c>
      <c r="P104" s="46">
        <f>IF($A104="","",LOWER(TRIM(SUBSTITUTE(SUBSTITUTE(SUBSTITUTE(SUBSTITUTE(SUBSTITUTE(SUBSTITUTE(SUBSTITUTE(SUBSTITUTE(SUBSTITUTE(SUBSTITUTE(SUBSTITUTE(F104,".",""),",",""),";",""),":",""),"!",""),"?",""),"""",""),"'",""),"’",""),"“",""),"”",""))))</f>
        <v/>
      </c>
      <c r="Q104" s="46">
        <f>IF($A104="","",LOWER(TRIM(SUBSTITUTE(SUBSTITUTE(SUBSTITUTE(SUBSTITUTE(SUBSTITUTE(SUBSTITUTE(SUBSTITUTE(SUBSTITUTE(SUBSTITUTE(SUBSTITUTE(SUBSTITUTE(G104,".",""),",",""),";",""),":",""),"!",""),"?",""),"""",""),"'",""),"’",""),"“",""),"”",""))))</f>
        <v/>
      </c>
      <c r="R104" s="46">
        <f>IF($A104="","",LEN(O104))</f>
        <v/>
      </c>
      <c r="S104" s="46">
        <f>IF($A104="","",IF(O104="",0,LEN(O104)-LEN(SUBSTITUTE(O104," ",""))+1))</f>
        <v/>
      </c>
      <c r="T104" s="46">
        <f>IF($A104="","",IF(AND(O104&lt;&gt;"",OR(O104=M104,AND(N104&lt;&gt;"",ISNUMBER(FIND("|"&amp;O104&amp;"|","|"&amp;N104&amp;"|"))))),1,0))</f>
        <v/>
      </c>
      <c r="U104" s="46">
        <f>IF($A104="","",IF(AND(Q104&lt;&gt;"",OR(Q104=M104,AND(N104&lt;&gt;"",ISNUMBER(FIND("|"&amp;Q104&amp;"|","|"&amp;N104&amp;"|"))))),1,0))</f>
        <v/>
      </c>
      <c r="V104" s="46">
        <f>IF($A104="","",IF(P104=O104,1,0))</f>
        <v/>
      </c>
      <c r="W104" s="46">
        <f>IF($A104="","",IF(Q104=O104,1,0))</f>
        <v/>
      </c>
      <c r="X104" s="46">
        <f>IF(OR($A104="",$H104=""),"",IF(AND($H104=1,T104=1),"TA",IF(AND($H104=0,T104=1),"FA",IF($H104=1,"FR","TR"))))</f>
        <v/>
      </c>
      <c r="Y104" s="46">
        <f>IF(OR($A104="",$H104=""),"",IF(AND($H104=1,U104=1),"TA",IF(AND($H104=0,U104=1),"FA",IF($H104=1,"FR","TR"))))</f>
        <v/>
      </c>
    </row>
    <row r="105" ht="15" customHeight="1" s="28">
      <c r="A105" s="54" t="n"/>
      <c r="B105" s="54" t="n"/>
      <c r="C105" s="54" t="n"/>
      <c r="D105" s="54" t="n"/>
      <c r="E105" s="54" t="n"/>
      <c r="F105" s="54" t="n"/>
      <c r="G105" s="54" t="n"/>
      <c r="H105" s="54" t="n"/>
      <c r="I105" s="54" t="n"/>
      <c r="J105" s="54" t="n"/>
      <c r="K105" s="54" t="n"/>
      <c r="L105" s="54" t="n"/>
      <c r="M105" s="46">
        <f>IF($A105="","",LOWER(TRIM(SUBSTITUTE(SUBSTITUTE(SUBSTITUTE(SUBSTITUTE(SUBSTITUTE(SUBSTITUTE(SUBSTITUTE(SUBSTITUTE(SUBSTITUTE(SUBSTITUTE(SUBSTITUTE(C105,".",""),",",""),";",""),":",""),"!",""),"?",""),"""",""),"'",""),"’",""),"“",""),"”",""))))</f>
        <v/>
      </c>
      <c r="N105" s="46">
        <f>IF($A105="","",SUBSTITUTE(SUBSTITUTE(LOWER(TRIM(SUBSTITUTE(SUBSTITUTE(SUBSTITUTE(SUBSTITUTE(SUBSTITUTE(SUBSTITUTE(SUBSTITUTE(SUBSTITUTE(SUBSTITUTE(SUBSTITUTE(SUBSTITUTE(D105,".",""),",",""),";",""),":",""),"!",""),"?",""),"""",""),"'",""),"’",""),"“",""),"”","")))," |","|"),"| ","|"))</f>
        <v/>
      </c>
      <c r="O105" s="46">
        <f>IF($A105="","",LOWER(TRIM(SUBSTITUTE(SUBSTITUTE(SUBSTITUTE(SUBSTITUTE(SUBSTITUTE(SUBSTITUTE(SUBSTITUTE(SUBSTITUTE(SUBSTITUTE(SUBSTITUTE(SUBSTITUTE(E105,".",""),",",""),";",""),":",""),"!",""),"?",""),"""",""),"'",""),"’",""),"“",""),"”",""))))</f>
        <v/>
      </c>
      <c r="P105" s="46">
        <f>IF($A105="","",LOWER(TRIM(SUBSTITUTE(SUBSTITUTE(SUBSTITUTE(SUBSTITUTE(SUBSTITUTE(SUBSTITUTE(SUBSTITUTE(SUBSTITUTE(SUBSTITUTE(SUBSTITUTE(SUBSTITUTE(F105,".",""),",",""),";",""),":",""),"!",""),"?",""),"""",""),"'",""),"’",""),"“",""),"”",""))))</f>
        <v/>
      </c>
      <c r="Q105" s="46">
        <f>IF($A105="","",LOWER(TRIM(SUBSTITUTE(SUBSTITUTE(SUBSTITUTE(SUBSTITUTE(SUBSTITUTE(SUBSTITUTE(SUBSTITUTE(SUBSTITUTE(SUBSTITUTE(SUBSTITUTE(SUBSTITUTE(G105,".",""),",",""),";",""),":",""),"!",""),"?",""),"""",""),"'",""),"’",""),"“",""),"”",""))))</f>
        <v/>
      </c>
      <c r="R105" s="46">
        <f>IF($A105="","",LEN(O105))</f>
        <v/>
      </c>
      <c r="S105" s="46">
        <f>IF($A105="","",IF(O105="",0,LEN(O105)-LEN(SUBSTITUTE(O105," ",""))+1))</f>
        <v/>
      </c>
      <c r="T105" s="46">
        <f>IF($A105="","",IF(AND(O105&lt;&gt;"",OR(O105=M105,AND(N105&lt;&gt;"",ISNUMBER(FIND("|"&amp;O105&amp;"|","|"&amp;N105&amp;"|"))))),1,0))</f>
        <v/>
      </c>
      <c r="U105" s="46">
        <f>IF($A105="","",IF(AND(Q105&lt;&gt;"",OR(Q105=M105,AND(N105&lt;&gt;"",ISNUMBER(FIND("|"&amp;Q105&amp;"|","|"&amp;N105&amp;"|"))))),1,0))</f>
        <v/>
      </c>
      <c r="V105" s="46">
        <f>IF($A105="","",IF(P105=O105,1,0))</f>
        <v/>
      </c>
      <c r="W105" s="46">
        <f>IF($A105="","",IF(Q105=O105,1,0))</f>
        <v/>
      </c>
      <c r="X105" s="46">
        <f>IF(OR($A105="",$H105=""),"",IF(AND($H105=1,T105=1),"TA",IF(AND($H105=0,T105=1),"FA",IF($H105=1,"FR","TR"))))</f>
        <v/>
      </c>
      <c r="Y105" s="46">
        <f>IF(OR($A105="",$H105=""),"",IF(AND($H105=1,U105=1),"TA",IF(AND($H105=0,U105=1),"FA",IF($H105=1,"FR","TR"))))</f>
        <v/>
      </c>
    </row>
    <row r="106" ht="15" customHeight="1" s="28">
      <c r="A106" s="54" t="n"/>
      <c r="B106" s="54" t="n"/>
      <c r="C106" s="54" t="n"/>
      <c r="D106" s="54" t="n"/>
      <c r="E106" s="54" t="n"/>
      <c r="F106" s="54" t="n"/>
      <c r="G106" s="54" t="n"/>
      <c r="H106" s="54" t="n"/>
      <c r="I106" s="54" t="n"/>
      <c r="J106" s="54" t="n"/>
      <c r="K106" s="54" t="n"/>
      <c r="L106" s="54" t="n"/>
      <c r="M106" s="46">
        <f>IF($A106="","",LOWER(TRIM(SUBSTITUTE(SUBSTITUTE(SUBSTITUTE(SUBSTITUTE(SUBSTITUTE(SUBSTITUTE(SUBSTITUTE(SUBSTITUTE(SUBSTITUTE(SUBSTITUTE(SUBSTITUTE(C106,".",""),",",""),";",""),":",""),"!",""),"?",""),"""",""),"'",""),"’",""),"“",""),"”",""))))</f>
        <v/>
      </c>
      <c r="N106" s="46">
        <f>IF($A106="","",SUBSTITUTE(SUBSTITUTE(LOWER(TRIM(SUBSTITUTE(SUBSTITUTE(SUBSTITUTE(SUBSTITUTE(SUBSTITUTE(SUBSTITUTE(SUBSTITUTE(SUBSTITUTE(SUBSTITUTE(SUBSTITUTE(SUBSTITUTE(D106,".",""),",",""),";",""),":",""),"!",""),"?",""),"""",""),"'",""),"’",""),"“",""),"”","")))," |","|"),"| ","|"))</f>
        <v/>
      </c>
      <c r="O106" s="46">
        <f>IF($A106="","",LOWER(TRIM(SUBSTITUTE(SUBSTITUTE(SUBSTITUTE(SUBSTITUTE(SUBSTITUTE(SUBSTITUTE(SUBSTITUTE(SUBSTITUTE(SUBSTITUTE(SUBSTITUTE(SUBSTITUTE(E106,".",""),",",""),";",""),":",""),"!",""),"?",""),"""",""),"'",""),"’",""),"“",""),"”",""))))</f>
        <v/>
      </c>
      <c r="P106" s="46">
        <f>IF($A106="","",LOWER(TRIM(SUBSTITUTE(SUBSTITUTE(SUBSTITUTE(SUBSTITUTE(SUBSTITUTE(SUBSTITUTE(SUBSTITUTE(SUBSTITUTE(SUBSTITUTE(SUBSTITUTE(SUBSTITUTE(F106,".",""),",",""),";",""),":",""),"!",""),"?",""),"""",""),"'",""),"’",""),"“",""),"”",""))))</f>
        <v/>
      </c>
      <c r="Q106" s="46">
        <f>IF($A106="","",LOWER(TRIM(SUBSTITUTE(SUBSTITUTE(SUBSTITUTE(SUBSTITUTE(SUBSTITUTE(SUBSTITUTE(SUBSTITUTE(SUBSTITUTE(SUBSTITUTE(SUBSTITUTE(SUBSTITUTE(G106,".",""),",",""),";",""),":",""),"!",""),"?",""),"""",""),"'",""),"’",""),"“",""),"”",""))))</f>
        <v/>
      </c>
      <c r="R106" s="46">
        <f>IF($A106="","",LEN(O106))</f>
        <v/>
      </c>
      <c r="S106" s="46">
        <f>IF($A106="","",IF(O106="",0,LEN(O106)-LEN(SUBSTITUTE(O106," ",""))+1))</f>
        <v/>
      </c>
      <c r="T106" s="46">
        <f>IF($A106="","",IF(AND(O106&lt;&gt;"",OR(O106=M106,AND(N106&lt;&gt;"",ISNUMBER(FIND("|"&amp;O106&amp;"|","|"&amp;N106&amp;"|"))))),1,0))</f>
        <v/>
      </c>
      <c r="U106" s="46">
        <f>IF($A106="","",IF(AND(Q106&lt;&gt;"",OR(Q106=M106,AND(N106&lt;&gt;"",ISNUMBER(FIND("|"&amp;Q106&amp;"|","|"&amp;N106&amp;"|"))))),1,0))</f>
        <v/>
      </c>
      <c r="V106" s="46">
        <f>IF($A106="","",IF(P106=O106,1,0))</f>
        <v/>
      </c>
      <c r="W106" s="46">
        <f>IF($A106="","",IF(Q106=O106,1,0))</f>
        <v/>
      </c>
      <c r="X106" s="46">
        <f>IF(OR($A106="",$H106=""),"",IF(AND($H106=1,T106=1),"TA",IF(AND($H106=0,T106=1),"FA",IF($H106=1,"FR","TR"))))</f>
        <v/>
      </c>
      <c r="Y106" s="46">
        <f>IF(OR($A106="",$H106=""),"",IF(AND($H106=1,U106=1),"TA",IF(AND($H106=0,U106=1),"FA",IF($H106=1,"FR","TR"))))</f>
        <v/>
      </c>
    </row>
    <row r="107" ht="15" customHeight="1" s="28">
      <c r="A107" s="54" t="n"/>
      <c r="B107" s="54" t="n"/>
      <c r="C107" s="54" t="n"/>
      <c r="D107" s="54" t="n"/>
      <c r="E107" s="54" t="n"/>
      <c r="F107" s="54" t="n"/>
      <c r="G107" s="54" t="n"/>
      <c r="H107" s="54" t="n"/>
      <c r="I107" s="54" t="n"/>
      <c r="J107" s="54" t="n"/>
      <c r="K107" s="54" t="n"/>
      <c r="L107" s="54" t="n"/>
      <c r="M107" s="46">
        <f>IF($A107="","",LOWER(TRIM(SUBSTITUTE(SUBSTITUTE(SUBSTITUTE(SUBSTITUTE(SUBSTITUTE(SUBSTITUTE(SUBSTITUTE(SUBSTITUTE(SUBSTITUTE(SUBSTITUTE(SUBSTITUTE(C107,".",""),",",""),";",""),":",""),"!",""),"?",""),"""",""),"'",""),"’",""),"“",""),"”",""))))</f>
        <v/>
      </c>
      <c r="N107" s="46">
        <f>IF($A107="","",SUBSTITUTE(SUBSTITUTE(LOWER(TRIM(SUBSTITUTE(SUBSTITUTE(SUBSTITUTE(SUBSTITUTE(SUBSTITUTE(SUBSTITUTE(SUBSTITUTE(SUBSTITUTE(SUBSTITUTE(SUBSTITUTE(SUBSTITUTE(D107,".",""),",",""),";",""),":",""),"!",""),"?",""),"""",""),"'",""),"’",""),"“",""),"”","")))," |","|"),"| ","|"))</f>
        <v/>
      </c>
      <c r="O107" s="46">
        <f>IF($A107="","",LOWER(TRIM(SUBSTITUTE(SUBSTITUTE(SUBSTITUTE(SUBSTITUTE(SUBSTITUTE(SUBSTITUTE(SUBSTITUTE(SUBSTITUTE(SUBSTITUTE(SUBSTITUTE(SUBSTITUTE(E107,".",""),",",""),";",""),":",""),"!",""),"?",""),"""",""),"'",""),"’",""),"“",""),"”",""))))</f>
        <v/>
      </c>
      <c r="P107" s="46">
        <f>IF($A107="","",LOWER(TRIM(SUBSTITUTE(SUBSTITUTE(SUBSTITUTE(SUBSTITUTE(SUBSTITUTE(SUBSTITUTE(SUBSTITUTE(SUBSTITUTE(SUBSTITUTE(SUBSTITUTE(SUBSTITUTE(F107,".",""),",",""),";",""),":",""),"!",""),"?",""),"""",""),"'",""),"’",""),"“",""),"”",""))))</f>
        <v/>
      </c>
      <c r="Q107" s="46">
        <f>IF($A107="","",LOWER(TRIM(SUBSTITUTE(SUBSTITUTE(SUBSTITUTE(SUBSTITUTE(SUBSTITUTE(SUBSTITUTE(SUBSTITUTE(SUBSTITUTE(SUBSTITUTE(SUBSTITUTE(SUBSTITUTE(G107,".",""),",",""),";",""),":",""),"!",""),"?",""),"""",""),"'",""),"’",""),"“",""),"”",""))))</f>
        <v/>
      </c>
      <c r="R107" s="46">
        <f>IF($A107="","",LEN(O107))</f>
        <v/>
      </c>
      <c r="S107" s="46">
        <f>IF($A107="","",IF(O107="",0,LEN(O107)-LEN(SUBSTITUTE(O107," ",""))+1))</f>
        <v/>
      </c>
      <c r="T107" s="46">
        <f>IF($A107="","",IF(AND(O107&lt;&gt;"",OR(O107=M107,AND(N107&lt;&gt;"",ISNUMBER(FIND("|"&amp;O107&amp;"|","|"&amp;N107&amp;"|"))))),1,0))</f>
        <v/>
      </c>
      <c r="U107" s="46">
        <f>IF($A107="","",IF(AND(Q107&lt;&gt;"",OR(Q107=M107,AND(N107&lt;&gt;"",ISNUMBER(FIND("|"&amp;Q107&amp;"|","|"&amp;N107&amp;"|"))))),1,0))</f>
        <v/>
      </c>
      <c r="V107" s="46">
        <f>IF($A107="","",IF(P107=O107,1,0))</f>
        <v/>
      </c>
      <c r="W107" s="46">
        <f>IF($A107="","",IF(Q107=O107,1,0))</f>
        <v/>
      </c>
      <c r="X107" s="46">
        <f>IF(OR($A107="",$H107=""),"",IF(AND($H107=1,T107=1),"TA",IF(AND($H107=0,T107=1),"FA",IF($H107=1,"FR","TR"))))</f>
        <v/>
      </c>
      <c r="Y107" s="46">
        <f>IF(OR($A107="",$H107=""),"",IF(AND($H107=1,U107=1),"TA",IF(AND($H107=0,U107=1),"FA",IF($H107=1,"FR","TR"))))</f>
        <v/>
      </c>
    </row>
    <row r="108" ht="15" customHeight="1" s="28">
      <c r="A108" s="54" t="n"/>
      <c r="B108" s="54" t="n"/>
      <c r="C108" s="54" t="n"/>
      <c r="D108" s="54" t="n"/>
      <c r="E108" s="54" t="n"/>
      <c r="F108" s="54" t="n"/>
      <c r="G108" s="54" t="n"/>
      <c r="H108" s="54" t="n"/>
      <c r="I108" s="54" t="n"/>
      <c r="J108" s="54" t="n"/>
      <c r="K108" s="54" t="n"/>
      <c r="L108" s="54" t="n"/>
      <c r="M108" s="46">
        <f>IF($A108="","",LOWER(TRIM(SUBSTITUTE(SUBSTITUTE(SUBSTITUTE(SUBSTITUTE(SUBSTITUTE(SUBSTITUTE(SUBSTITUTE(SUBSTITUTE(SUBSTITUTE(SUBSTITUTE(SUBSTITUTE(C108,".",""),",",""),";",""),":",""),"!",""),"?",""),"""",""),"'",""),"’",""),"“",""),"”",""))))</f>
        <v/>
      </c>
      <c r="N108" s="46">
        <f>IF($A108="","",SUBSTITUTE(SUBSTITUTE(LOWER(TRIM(SUBSTITUTE(SUBSTITUTE(SUBSTITUTE(SUBSTITUTE(SUBSTITUTE(SUBSTITUTE(SUBSTITUTE(SUBSTITUTE(SUBSTITUTE(SUBSTITUTE(SUBSTITUTE(D108,".",""),",",""),";",""),":",""),"!",""),"?",""),"""",""),"'",""),"’",""),"“",""),"”","")))," |","|"),"| ","|"))</f>
        <v/>
      </c>
      <c r="O108" s="46">
        <f>IF($A108="","",LOWER(TRIM(SUBSTITUTE(SUBSTITUTE(SUBSTITUTE(SUBSTITUTE(SUBSTITUTE(SUBSTITUTE(SUBSTITUTE(SUBSTITUTE(SUBSTITUTE(SUBSTITUTE(SUBSTITUTE(E108,".",""),",",""),";",""),":",""),"!",""),"?",""),"""",""),"'",""),"’",""),"“",""),"”",""))))</f>
        <v/>
      </c>
      <c r="P108" s="46">
        <f>IF($A108="","",LOWER(TRIM(SUBSTITUTE(SUBSTITUTE(SUBSTITUTE(SUBSTITUTE(SUBSTITUTE(SUBSTITUTE(SUBSTITUTE(SUBSTITUTE(SUBSTITUTE(SUBSTITUTE(SUBSTITUTE(F108,".",""),",",""),";",""),":",""),"!",""),"?",""),"""",""),"'",""),"’",""),"“",""),"”",""))))</f>
        <v/>
      </c>
      <c r="Q108" s="46">
        <f>IF($A108="","",LOWER(TRIM(SUBSTITUTE(SUBSTITUTE(SUBSTITUTE(SUBSTITUTE(SUBSTITUTE(SUBSTITUTE(SUBSTITUTE(SUBSTITUTE(SUBSTITUTE(SUBSTITUTE(SUBSTITUTE(G108,".",""),",",""),";",""),":",""),"!",""),"?",""),"""",""),"'",""),"’",""),"“",""),"”",""))))</f>
        <v/>
      </c>
      <c r="R108" s="46">
        <f>IF($A108="","",LEN(O108))</f>
        <v/>
      </c>
      <c r="S108" s="46">
        <f>IF($A108="","",IF(O108="",0,LEN(O108)-LEN(SUBSTITUTE(O108," ",""))+1))</f>
        <v/>
      </c>
      <c r="T108" s="46">
        <f>IF($A108="","",IF(AND(O108&lt;&gt;"",OR(O108=M108,AND(N108&lt;&gt;"",ISNUMBER(FIND("|"&amp;O108&amp;"|","|"&amp;N108&amp;"|"))))),1,0))</f>
        <v/>
      </c>
      <c r="U108" s="46">
        <f>IF($A108="","",IF(AND(Q108&lt;&gt;"",OR(Q108=M108,AND(N108&lt;&gt;"",ISNUMBER(FIND("|"&amp;Q108&amp;"|","|"&amp;N108&amp;"|"))))),1,0))</f>
        <v/>
      </c>
      <c r="V108" s="46">
        <f>IF($A108="","",IF(P108=O108,1,0))</f>
        <v/>
      </c>
      <c r="W108" s="46">
        <f>IF($A108="","",IF(Q108=O108,1,0))</f>
        <v/>
      </c>
      <c r="X108" s="46">
        <f>IF(OR($A108="",$H108=""),"",IF(AND($H108=1,T108=1),"TA",IF(AND($H108=0,T108=1),"FA",IF($H108=1,"FR","TR"))))</f>
        <v/>
      </c>
      <c r="Y108" s="46">
        <f>IF(OR($A108="",$H108=""),"",IF(AND($H108=1,U108=1),"TA",IF(AND($H108=0,U108=1),"FA",IF($H108=1,"FR","TR"))))</f>
        <v/>
      </c>
    </row>
    <row r="109" ht="15" customHeight="1" s="28">
      <c r="A109" s="54" t="n"/>
      <c r="B109" s="54" t="n"/>
      <c r="C109" s="54" t="n"/>
      <c r="D109" s="54" t="n"/>
      <c r="E109" s="54" t="n"/>
      <c r="F109" s="54" t="n"/>
      <c r="G109" s="54" t="n"/>
      <c r="H109" s="54" t="n"/>
      <c r="I109" s="54" t="n"/>
      <c r="J109" s="54" t="n"/>
      <c r="K109" s="54" t="n"/>
      <c r="L109" s="54" t="n"/>
      <c r="M109" s="46">
        <f>IF($A109="","",LOWER(TRIM(SUBSTITUTE(SUBSTITUTE(SUBSTITUTE(SUBSTITUTE(SUBSTITUTE(SUBSTITUTE(SUBSTITUTE(SUBSTITUTE(SUBSTITUTE(SUBSTITUTE(SUBSTITUTE(C109,".",""),",",""),";",""),":",""),"!",""),"?",""),"""",""),"'",""),"’",""),"“",""),"”",""))))</f>
        <v/>
      </c>
      <c r="N109" s="46">
        <f>IF($A109="","",SUBSTITUTE(SUBSTITUTE(LOWER(TRIM(SUBSTITUTE(SUBSTITUTE(SUBSTITUTE(SUBSTITUTE(SUBSTITUTE(SUBSTITUTE(SUBSTITUTE(SUBSTITUTE(SUBSTITUTE(SUBSTITUTE(SUBSTITUTE(D109,".",""),",",""),";",""),":",""),"!",""),"?",""),"""",""),"'",""),"’",""),"“",""),"”","")))," |","|"),"| ","|"))</f>
        <v/>
      </c>
      <c r="O109" s="46">
        <f>IF($A109="","",LOWER(TRIM(SUBSTITUTE(SUBSTITUTE(SUBSTITUTE(SUBSTITUTE(SUBSTITUTE(SUBSTITUTE(SUBSTITUTE(SUBSTITUTE(SUBSTITUTE(SUBSTITUTE(SUBSTITUTE(E109,".",""),",",""),";",""),":",""),"!",""),"?",""),"""",""),"'",""),"’",""),"“",""),"”",""))))</f>
        <v/>
      </c>
      <c r="P109" s="46">
        <f>IF($A109="","",LOWER(TRIM(SUBSTITUTE(SUBSTITUTE(SUBSTITUTE(SUBSTITUTE(SUBSTITUTE(SUBSTITUTE(SUBSTITUTE(SUBSTITUTE(SUBSTITUTE(SUBSTITUTE(SUBSTITUTE(F109,".",""),",",""),";",""),":",""),"!",""),"?",""),"""",""),"'",""),"’",""),"“",""),"”",""))))</f>
        <v/>
      </c>
      <c r="Q109" s="46">
        <f>IF($A109="","",LOWER(TRIM(SUBSTITUTE(SUBSTITUTE(SUBSTITUTE(SUBSTITUTE(SUBSTITUTE(SUBSTITUTE(SUBSTITUTE(SUBSTITUTE(SUBSTITUTE(SUBSTITUTE(SUBSTITUTE(G109,".",""),",",""),";",""),":",""),"!",""),"?",""),"""",""),"'",""),"’",""),"“",""),"”",""))))</f>
        <v/>
      </c>
      <c r="R109" s="46">
        <f>IF($A109="","",LEN(O109))</f>
        <v/>
      </c>
      <c r="S109" s="46">
        <f>IF($A109="","",IF(O109="",0,LEN(O109)-LEN(SUBSTITUTE(O109," ",""))+1))</f>
        <v/>
      </c>
      <c r="T109" s="46">
        <f>IF($A109="","",IF(AND(O109&lt;&gt;"",OR(O109=M109,AND(N109&lt;&gt;"",ISNUMBER(FIND("|"&amp;O109&amp;"|","|"&amp;N109&amp;"|"))))),1,0))</f>
        <v/>
      </c>
      <c r="U109" s="46">
        <f>IF($A109="","",IF(AND(Q109&lt;&gt;"",OR(Q109=M109,AND(N109&lt;&gt;"",ISNUMBER(FIND("|"&amp;Q109&amp;"|","|"&amp;N109&amp;"|"))))),1,0))</f>
        <v/>
      </c>
      <c r="V109" s="46">
        <f>IF($A109="","",IF(P109=O109,1,0))</f>
        <v/>
      </c>
      <c r="W109" s="46">
        <f>IF($A109="","",IF(Q109=O109,1,0))</f>
        <v/>
      </c>
      <c r="X109" s="46">
        <f>IF(OR($A109="",$H109=""),"",IF(AND($H109=1,T109=1),"TA",IF(AND($H109=0,T109=1),"FA",IF($H109=1,"FR","TR"))))</f>
        <v/>
      </c>
      <c r="Y109" s="46">
        <f>IF(OR($A109="",$H109=""),"",IF(AND($H109=1,U109=1),"TA",IF(AND($H109=0,U109=1),"FA",IF($H109=1,"FR","TR"))))</f>
        <v/>
      </c>
    </row>
    <row r="110" ht="15" customHeight="1" s="28">
      <c r="A110" s="54" t="n"/>
      <c r="B110" s="54" t="n"/>
      <c r="C110" s="54" t="n"/>
      <c r="D110" s="54" t="n"/>
      <c r="E110" s="54" t="n"/>
      <c r="F110" s="54" t="n"/>
      <c r="G110" s="54" t="n"/>
      <c r="H110" s="54" t="n"/>
      <c r="I110" s="54" t="n"/>
      <c r="J110" s="54" t="n"/>
      <c r="K110" s="54" t="n"/>
      <c r="L110" s="54" t="n"/>
      <c r="M110" s="46">
        <f>IF($A110="","",LOWER(TRIM(SUBSTITUTE(SUBSTITUTE(SUBSTITUTE(SUBSTITUTE(SUBSTITUTE(SUBSTITUTE(SUBSTITUTE(SUBSTITUTE(SUBSTITUTE(SUBSTITUTE(SUBSTITUTE(C110,".",""),",",""),";",""),":",""),"!",""),"?",""),"""",""),"'",""),"’",""),"“",""),"”",""))))</f>
        <v/>
      </c>
      <c r="N110" s="46">
        <f>IF($A110="","",SUBSTITUTE(SUBSTITUTE(LOWER(TRIM(SUBSTITUTE(SUBSTITUTE(SUBSTITUTE(SUBSTITUTE(SUBSTITUTE(SUBSTITUTE(SUBSTITUTE(SUBSTITUTE(SUBSTITUTE(SUBSTITUTE(SUBSTITUTE(D110,".",""),",",""),";",""),":",""),"!",""),"?",""),"""",""),"'",""),"’",""),"“",""),"”","")))," |","|"),"| ","|"))</f>
        <v/>
      </c>
      <c r="O110" s="46">
        <f>IF($A110="","",LOWER(TRIM(SUBSTITUTE(SUBSTITUTE(SUBSTITUTE(SUBSTITUTE(SUBSTITUTE(SUBSTITUTE(SUBSTITUTE(SUBSTITUTE(SUBSTITUTE(SUBSTITUTE(SUBSTITUTE(E110,".",""),",",""),";",""),":",""),"!",""),"?",""),"""",""),"'",""),"’",""),"“",""),"”",""))))</f>
        <v/>
      </c>
      <c r="P110" s="46">
        <f>IF($A110="","",LOWER(TRIM(SUBSTITUTE(SUBSTITUTE(SUBSTITUTE(SUBSTITUTE(SUBSTITUTE(SUBSTITUTE(SUBSTITUTE(SUBSTITUTE(SUBSTITUTE(SUBSTITUTE(SUBSTITUTE(F110,".",""),",",""),";",""),":",""),"!",""),"?",""),"""",""),"'",""),"’",""),"“",""),"”",""))))</f>
        <v/>
      </c>
      <c r="Q110" s="46">
        <f>IF($A110="","",LOWER(TRIM(SUBSTITUTE(SUBSTITUTE(SUBSTITUTE(SUBSTITUTE(SUBSTITUTE(SUBSTITUTE(SUBSTITUTE(SUBSTITUTE(SUBSTITUTE(SUBSTITUTE(SUBSTITUTE(G110,".",""),",",""),";",""),":",""),"!",""),"?",""),"""",""),"'",""),"’",""),"“",""),"”",""))))</f>
        <v/>
      </c>
      <c r="R110" s="46">
        <f>IF($A110="","",LEN(O110))</f>
        <v/>
      </c>
      <c r="S110" s="46">
        <f>IF($A110="","",IF(O110="",0,LEN(O110)-LEN(SUBSTITUTE(O110," ",""))+1))</f>
        <v/>
      </c>
      <c r="T110" s="46">
        <f>IF($A110="","",IF(AND(O110&lt;&gt;"",OR(O110=M110,AND(N110&lt;&gt;"",ISNUMBER(FIND("|"&amp;O110&amp;"|","|"&amp;N110&amp;"|"))))),1,0))</f>
        <v/>
      </c>
      <c r="U110" s="46">
        <f>IF($A110="","",IF(AND(Q110&lt;&gt;"",OR(Q110=M110,AND(N110&lt;&gt;"",ISNUMBER(FIND("|"&amp;Q110&amp;"|","|"&amp;N110&amp;"|"))))),1,0))</f>
        <v/>
      </c>
      <c r="V110" s="46">
        <f>IF($A110="","",IF(P110=O110,1,0))</f>
        <v/>
      </c>
      <c r="W110" s="46">
        <f>IF($A110="","",IF(Q110=O110,1,0))</f>
        <v/>
      </c>
      <c r="X110" s="46">
        <f>IF(OR($A110="",$H110=""),"",IF(AND($H110=1,T110=1),"TA",IF(AND($H110=0,T110=1),"FA",IF($H110=1,"FR","TR"))))</f>
        <v/>
      </c>
      <c r="Y110" s="46">
        <f>IF(OR($A110="",$H110=""),"",IF(AND($H110=1,U110=1),"TA",IF(AND($H110=0,U110=1),"FA",IF($H110=1,"FR","TR"))))</f>
        <v/>
      </c>
    </row>
    <row r="111" ht="15" customHeight="1" s="28">
      <c r="A111" s="54" t="n"/>
      <c r="B111" s="54" t="n"/>
      <c r="C111" s="54" t="n"/>
      <c r="D111" s="54" t="n"/>
      <c r="E111" s="54" t="n"/>
      <c r="F111" s="54" t="n"/>
      <c r="G111" s="54" t="n"/>
      <c r="H111" s="54" t="n"/>
      <c r="I111" s="54" t="n"/>
      <c r="J111" s="54" t="n"/>
      <c r="K111" s="54" t="n"/>
      <c r="L111" s="54" t="n"/>
      <c r="M111" s="46">
        <f>IF($A111="","",LOWER(TRIM(SUBSTITUTE(SUBSTITUTE(SUBSTITUTE(SUBSTITUTE(SUBSTITUTE(SUBSTITUTE(SUBSTITUTE(SUBSTITUTE(SUBSTITUTE(SUBSTITUTE(SUBSTITUTE(C111,".",""),",",""),";",""),":",""),"!",""),"?",""),"""",""),"'",""),"’",""),"“",""),"”",""))))</f>
        <v/>
      </c>
      <c r="N111" s="46">
        <f>IF($A111="","",SUBSTITUTE(SUBSTITUTE(LOWER(TRIM(SUBSTITUTE(SUBSTITUTE(SUBSTITUTE(SUBSTITUTE(SUBSTITUTE(SUBSTITUTE(SUBSTITUTE(SUBSTITUTE(SUBSTITUTE(SUBSTITUTE(SUBSTITUTE(D111,".",""),",",""),";",""),":",""),"!",""),"?",""),"""",""),"'",""),"’",""),"“",""),"”","")))," |","|"),"| ","|"))</f>
        <v/>
      </c>
      <c r="O111" s="46">
        <f>IF($A111="","",LOWER(TRIM(SUBSTITUTE(SUBSTITUTE(SUBSTITUTE(SUBSTITUTE(SUBSTITUTE(SUBSTITUTE(SUBSTITUTE(SUBSTITUTE(SUBSTITUTE(SUBSTITUTE(SUBSTITUTE(E111,".",""),",",""),";",""),":",""),"!",""),"?",""),"""",""),"'",""),"’",""),"“",""),"”",""))))</f>
        <v/>
      </c>
      <c r="P111" s="46">
        <f>IF($A111="","",LOWER(TRIM(SUBSTITUTE(SUBSTITUTE(SUBSTITUTE(SUBSTITUTE(SUBSTITUTE(SUBSTITUTE(SUBSTITUTE(SUBSTITUTE(SUBSTITUTE(SUBSTITUTE(SUBSTITUTE(F111,".",""),",",""),";",""),":",""),"!",""),"?",""),"""",""),"'",""),"’",""),"“",""),"”",""))))</f>
        <v/>
      </c>
      <c r="Q111" s="46">
        <f>IF($A111="","",LOWER(TRIM(SUBSTITUTE(SUBSTITUTE(SUBSTITUTE(SUBSTITUTE(SUBSTITUTE(SUBSTITUTE(SUBSTITUTE(SUBSTITUTE(SUBSTITUTE(SUBSTITUTE(SUBSTITUTE(G111,".",""),",",""),";",""),":",""),"!",""),"?",""),"""",""),"'",""),"’",""),"“",""),"”",""))))</f>
        <v/>
      </c>
      <c r="R111" s="46">
        <f>IF($A111="","",LEN(O111))</f>
        <v/>
      </c>
      <c r="S111" s="46">
        <f>IF($A111="","",IF(O111="",0,LEN(O111)-LEN(SUBSTITUTE(O111," ",""))+1))</f>
        <v/>
      </c>
      <c r="T111" s="46">
        <f>IF($A111="","",IF(AND(O111&lt;&gt;"",OR(O111=M111,AND(N111&lt;&gt;"",ISNUMBER(FIND("|"&amp;O111&amp;"|","|"&amp;N111&amp;"|"))))),1,0))</f>
        <v/>
      </c>
      <c r="U111" s="46">
        <f>IF($A111="","",IF(AND(Q111&lt;&gt;"",OR(Q111=M111,AND(N111&lt;&gt;"",ISNUMBER(FIND("|"&amp;Q111&amp;"|","|"&amp;N111&amp;"|"))))),1,0))</f>
        <v/>
      </c>
      <c r="V111" s="46">
        <f>IF($A111="","",IF(P111=O111,1,0))</f>
        <v/>
      </c>
      <c r="W111" s="46">
        <f>IF($A111="","",IF(Q111=O111,1,0))</f>
        <v/>
      </c>
      <c r="X111" s="46">
        <f>IF(OR($A111="",$H111=""),"",IF(AND($H111=1,T111=1),"TA",IF(AND($H111=0,T111=1),"FA",IF($H111=1,"FR","TR"))))</f>
        <v/>
      </c>
      <c r="Y111" s="46">
        <f>IF(OR($A111="",$H111=""),"",IF(AND($H111=1,U111=1),"TA",IF(AND($H111=0,U111=1),"FA",IF($H111=1,"FR","TR"))))</f>
        <v/>
      </c>
    </row>
    <row r="112" ht="15" customHeight="1" s="28">
      <c r="A112" s="54" t="n"/>
      <c r="B112" s="54" t="n"/>
      <c r="C112" s="54" t="n"/>
      <c r="D112" s="54" t="n"/>
      <c r="E112" s="54" t="n"/>
      <c r="F112" s="54" t="n"/>
      <c r="G112" s="54" t="n"/>
      <c r="H112" s="54" t="n"/>
      <c r="I112" s="54" t="n"/>
      <c r="J112" s="54" t="n"/>
      <c r="K112" s="54" t="n"/>
      <c r="L112" s="54" t="n"/>
      <c r="M112" s="46">
        <f>IF($A112="","",LOWER(TRIM(SUBSTITUTE(SUBSTITUTE(SUBSTITUTE(SUBSTITUTE(SUBSTITUTE(SUBSTITUTE(SUBSTITUTE(SUBSTITUTE(SUBSTITUTE(SUBSTITUTE(SUBSTITUTE(C112,".",""),",",""),";",""),":",""),"!",""),"?",""),"""",""),"'",""),"’",""),"“",""),"”",""))))</f>
        <v/>
      </c>
      <c r="N112" s="46">
        <f>IF($A112="","",SUBSTITUTE(SUBSTITUTE(LOWER(TRIM(SUBSTITUTE(SUBSTITUTE(SUBSTITUTE(SUBSTITUTE(SUBSTITUTE(SUBSTITUTE(SUBSTITUTE(SUBSTITUTE(SUBSTITUTE(SUBSTITUTE(SUBSTITUTE(D112,".",""),",",""),";",""),":",""),"!",""),"?",""),"""",""),"'",""),"’",""),"“",""),"”","")))," |","|"),"| ","|"))</f>
        <v/>
      </c>
      <c r="O112" s="46">
        <f>IF($A112="","",LOWER(TRIM(SUBSTITUTE(SUBSTITUTE(SUBSTITUTE(SUBSTITUTE(SUBSTITUTE(SUBSTITUTE(SUBSTITUTE(SUBSTITUTE(SUBSTITUTE(SUBSTITUTE(SUBSTITUTE(E112,".",""),",",""),";",""),":",""),"!",""),"?",""),"""",""),"'",""),"’",""),"“",""),"”",""))))</f>
        <v/>
      </c>
      <c r="P112" s="46">
        <f>IF($A112="","",LOWER(TRIM(SUBSTITUTE(SUBSTITUTE(SUBSTITUTE(SUBSTITUTE(SUBSTITUTE(SUBSTITUTE(SUBSTITUTE(SUBSTITUTE(SUBSTITUTE(SUBSTITUTE(SUBSTITUTE(F112,".",""),",",""),";",""),":",""),"!",""),"?",""),"""",""),"'",""),"’",""),"“",""),"”",""))))</f>
        <v/>
      </c>
      <c r="Q112" s="46">
        <f>IF($A112="","",LOWER(TRIM(SUBSTITUTE(SUBSTITUTE(SUBSTITUTE(SUBSTITUTE(SUBSTITUTE(SUBSTITUTE(SUBSTITUTE(SUBSTITUTE(SUBSTITUTE(SUBSTITUTE(SUBSTITUTE(G112,".",""),",",""),";",""),":",""),"!",""),"?",""),"""",""),"'",""),"’",""),"“",""),"”",""))))</f>
        <v/>
      </c>
      <c r="R112" s="46">
        <f>IF($A112="","",LEN(O112))</f>
        <v/>
      </c>
      <c r="S112" s="46">
        <f>IF($A112="","",IF(O112="",0,LEN(O112)-LEN(SUBSTITUTE(O112," ",""))+1))</f>
        <v/>
      </c>
      <c r="T112" s="46">
        <f>IF($A112="","",IF(AND(O112&lt;&gt;"",OR(O112=M112,AND(N112&lt;&gt;"",ISNUMBER(FIND("|"&amp;O112&amp;"|","|"&amp;N112&amp;"|"))))),1,0))</f>
        <v/>
      </c>
      <c r="U112" s="46">
        <f>IF($A112="","",IF(AND(Q112&lt;&gt;"",OR(Q112=M112,AND(N112&lt;&gt;"",ISNUMBER(FIND("|"&amp;Q112&amp;"|","|"&amp;N112&amp;"|"))))),1,0))</f>
        <v/>
      </c>
      <c r="V112" s="46">
        <f>IF($A112="","",IF(P112=O112,1,0))</f>
        <v/>
      </c>
      <c r="W112" s="46">
        <f>IF($A112="","",IF(Q112=O112,1,0))</f>
        <v/>
      </c>
      <c r="X112" s="46">
        <f>IF(OR($A112="",$H112=""),"",IF(AND($H112=1,T112=1),"TA",IF(AND($H112=0,T112=1),"FA",IF($H112=1,"FR","TR"))))</f>
        <v/>
      </c>
      <c r="Y112" s="46">
        <f>IF(OR($A112="",$H112=""),"",IF(AND($H112=1,U112=1),"TA",IF(AND($H112=0,U112=1),"FA",IF($H112=1,"FR","TR"))))</f>
        <v/>
      </c>
    </row>
    <row r="113" ht="15" customHeight="1" s="28">
      <c r="A113" s="54" t="n"/>
      <c r="B113" s="54" t="n"/>
      <c r="C113" s="54" t="n"/>
      <c r="D113" s="54" t="n"/>
      <c r="E113" s="54" t="n"/>
      <c r="F113" s="54" t="n"/>
      <c r="G113" s="54" t="n"/>
      <c r="H113" s="54" t="n"/>
      <c r="I113" s="54" t="n"/>
      <c r="J113" s="54" t="n"/>
      <c r="K113" s="54" t="n"/>
      <c r="L113" s="54" t="n"/>
      <c r="M113" s="46">
        <f>IF($A113="","",LOWER(TRIM(SUBSTITUTE(SUBSTITUTE(SUBSTITUTE(SUBSTITUTE(SUBSTITUTE(SUBSTITUTE(SUBSTITUTE(SUBSTITUTE(SUBSTITUTE(SUBSTITUTE(SUBSTITUTE(C113,".",""),",",""),";",""),":",""),"!",""),"?",""),"""",""),"'",""),"’",""),"“",""),"”",""))))</f>
        <v/>
      </c>
      <c r="N113" s="46">
        <f>IF($A113="","",SUBSTITUTE(SUBSTITUTE(LOWER(TRIM(SUBSTITUTE(SUBSTITUTE(SUBSTITUTE(SUBSTITUTE(SUBSTITUTE(SUBSTITUTE(SUBSTITUTE(SUBSTITUTE(SUBSTITUTE(SUBSTITUTE(SUBSTITUTE(D113,".",""),",",""),";",""),":",""),"!",""),"?",""),"""",""),"'",""),"’",""),"“",""),"”","")))," |","|"),"| ","|"))</f>
        <v/>
      </c>
      <c r="O113" s="46">
        <f>IF($A113="","",LOWER(TRIM(SUBSTITUTE(SUBSTITUTE(SUBSTITUTE(SUBSTITUTE(SUBSTITUTE(SUBSTITUTE(SUBSTITUTE(SUBSTITUTE(SUBSTITUTE(SUBSTITUTE(SUBSTITUTE(E113,".",""),",",""),";",""),":",""),"!",""),"?",""),"""",""),"'",""),"’",""),"“",""),"”",""))))</f>
        <v/>
      </c>
      <c r="P113" s="46">
        <f>IF($A113="","",LOWER(TRIM(SUBSTITUTE(SUBSTITUTE(SUBSTITUTE(SUBSTITUTE(SUBSTITUTE(SUBSTITUTE(SUBSTITUTE(SUBSTITUTE(SUBSTITUTE(SUBSTITUTE(SUBSTITUTE(F113,".",""),",",""),";",""),":",""),"!",""),"?",""),"""",""),"'",""),"’",""),"“",""),"”",""))))</f>
        <v/>
      </c>
      <c r="Q113" s="46">
        <f>IF($A113="","",LOWER(TRIM(SUBSTITUTE(SUBSTITUTE(SUBSTITUTE(SUBSTITUTE(SUBSTITUTE(SUBSTITUTE(SUBSTITUTE(SUBSTITUTE(SUBSTITUTE(SUBSTITUTE(SUBSTITUTE(G113,".",""),",",""),";",""),":",""),"!",""),"?",""),"""",""),"'",""),"’",""),"“",""),"”",""))))</f>
        <v/>
      </c>
      <c r="R113" s="46">
        <f>IF($A113="","",LEN(O113))</f>
        <v/>
      </c>
      <c r="S113" s="46">
        <f>IF($A113="","",IF(O113="",0,LEN(O113)-LEN(SUBSTITUTE(O113," ",""))+1))</f>
        <v/>
      </c>
      <c r="T113" s="46">
        <f>IF($A113="","",IF(AND(O113&lt;&gt;"",OR(O113=M113,AND(N113&lt;&gt;"",ISNUMBER(FIND("|"&amp;O113&amp;"|","|"&amp;N113&amp;"|"))))),1,0))</f>
        <v/>
      </c>
      <c r="U113" s="46">
        <f>IF($A113="","",IF(AND(Q113&lt;&gt;"",OR(Q113=M113,AND(N113&lt;&gt;"",ISNUMBER(FIND("|"&amp;Q113&amp;"|","|"&amp;N113&amp;"|"))))),1,0))</f>
        <v/>
      </c>
      <c r="V113" s="46">
        <f>IF($A113="","",IF(P113=O113,1,0))</f>
        <v/>
      </c>
      <c r="W113" s="46">
        <f>IF($A113="","",IF(Q113=O113,1,0))</f>
        <v/>
      </c>
      <c r="X113" s="46">
        <f>IF(OR($A113="",$H113=""),"",IF(AND($H113=1,T113=1),"TA",IF(AND($H113=0,T113=1),"FA",IF($H113=1,"FR","TR"))))</f>
        <v/>
      </c>
      <c r="Y113" s="46">
        <f>IF(OR($A113="",$H113=""),"",IF(AND($H113=1,U113=1),"TA",IF(AND($H113=0,U113=1),"FA",IF($H113=1,"FR","TR"))))</f>
        <v/>
      </c>
    </row>
    <row r="114" ht="15" customHeight="1" s="28">
      <c r="A114" s="54" t="n"/>
      <c r="B114" s="54" t="n"/>
      <c r="C114" s="54" t="n"/>
      <c r="D114" s="54" t="n"/>
      <c r="E114" s="54" t="n"/>
      <c r="F114" s="54" t="n"/>
      <c r="G114" s="54" t="n"/>
      <c r="H114" s="54" t="n"/>
      <c r="I114" s="54" t="n"/>
      <c r="J114" s="54" t="n"/>
      <c r="K114" s="54" t="n"/>
      <c r="L114" s="54" t="n"/>
      <c r="M114" s="46">
        <f>IF($A114="","",LOWER(TRIM(SUBSTITUTE(SUBSTITUTE(SUBSTITUTE(SUBSTITUTE(SUBSTITUTE(SUBSTITUTE(SUBSTITUTE(SUBSTITUTE(SUBSTITUTE(SUBSTITUTE(SUBSTITUTE(C114,".",""),",",""),";",""),":",""),"!",""),"?",""),"""",""),"'",""),"’",""),"“",""),"”",""))))</f>
        <v/>
      </c>
      <c r="N114" s="46">
        <f>IF($A114="","",SUBSTITUTE(SUBSTITUTE(LOWER(TRIM(SUBSTITUTE(SUBSTITUTE(SUBSTITUTE(SUBSTITUTE(SUBSTITUTE(SUBSTITUTE(SUBSTITUTE(SUBSTITUTE(SUBSTITUTE(SUBSTITUTE(SUBSTITUTE(D114,".",""),",",""),";",""),":",""),"!",""),"?",""),"""",""),"'",""),"’",""),"“",""),"”","")))," |","|"),"| ","|"))</f>
        <v/>
      </c>
      <c r="O114" s="46">
        <f>IF($A114="","",LOWER(TRIM(SUBSTITUTE(SUBSTITUTE(SUBSTITUTE(SUBSTITUTE(SUBSTITUTE(SUBSTITUTE(SUBSTITUTE(SUBSTITUTE(SUBSTITUTE(SUBSTITUTE(SUBSTITUTE(E114,".",""),",",""),";",""),":",""),"!",""),"?",""),"""",""),"'",""),"’",""),"“",""),"”",""))))</f>
        <v/>
      </c>
      <c r="P114" s="46">
        <f>IF($A114="","",LOWER(TRIM(SUBSTITUTE(SUBSTITUTE(SUBSTITUTE(SUBSTITUTE(SUBSTITUTE(SUBSTITUTE(SUBSTITUTE(SUBSTITUTE(SUBSTITUTE(SUBSTITUTE(SUBSTITUTE(F114,".",""),",",""),";",""),":",""),"!",""),"?",""),"""",""),"'",""),"’",""),"“",""),"”",""))))</f>
        <v/>
      </c>
      <c r="Q114" s="46">
        <f>IF($A114="","",LOWER(TRIM(SUBSTITUTE(SUBSTITUTE(SUBSTITUTE(SUBSTITUTE(SUBSTITUTE(SUBSTITUTE(SUBSTITUTE(SUBSTITUTE(SUBSTITUTE(SUBSTITUTE(SUBSTITUTE(G114,".",""),",",""),";",""),":",""),"!",""),"?",""),"""",""),"'",""),"’",""),"“",""),"”",""))))</f>
        <v/>
      </c>
      <c r="R114" s="46">
        <f>IF($A114="","",LEN(O114))</f>
        <v/>
      </c>
      <c r="S114" s="46">
        <f>IF($A114="","",IF(O114="",0,LEN(O114)-LEN(SUBSTITUTE(O114," ",""))+1))</f>
        <v/>
      </c>
      <c r="T114" s="46">
        <f>IF($A114="","",IF(AND(O114&lt;&gt;"",OR(O114=M114,AND(N114&lt;&gt;"",ISNUMBER(FIND("|"&amp;O114&amp;"|","|"&amp;N114&amp;"|"))))),1,0))</f>
        <v/>
      </c>
      <c r="U114" s="46">
        <f>IF($A114="","",IF(AND(Q114&lt;&gt;"",OR(Q114=M114,AND(N114&lt;&gt;"",ISNUMBER(FIND("|"&amp;Q114&amp;"|","|"&amp;N114&amp;"|"))))),1,0))</f>
        <v/>
      </c>
      <c r="V114" s="46">
        <f>IF($A114="","",IF(P114=O114,1,0))</f>
        <v/>
      </c>
      <c r="W114" s="46">
        <f>IF($A114="","",IF(Q114=O114,1,0))</f>
        <v/>
      </c>
      <c r="X114" s="46">
        <f>IF(OR($A114="",$H114=""),"",IF(AND($H114=1,T114=1),"TA",IF(AND($H114=0,T114=1),"FA",IF($H114=1,"FR","TR"))))</f>
        <v/>
      </c>
      <c r="Y114" s="46">
        <f>IF(OR($A114="",$H114=""),"",IF(AND($H114=1,U114=1),"TA",IF(AND($H114=0,U114=1),"FA",IF($H114=1,"FR","TR"))))</f>
        <v/>
      </c>
    </row>
    <row r="115" ht="15" customHeight="1" s="28">
      <c r="A115" s="54" t="n"/>
      <c r="B115" s="54" t="n"/>
      <c r="C115" s="54" t="n"/>
      <c r="D115" s="54" t="n"/>
      <c r="E115" s="54" t="n"/>
      <c r="F115" s="54" t="n"/>
      <c r="G115" s="54" t="n"/>
      <c r="H115" s="54" t="n"/>
      <c r="I115" s="54" t="n"/>
      <c r="J115" s="54" t="n"/>
      <c r="K115" s="54" t="n"/>
      <c r="L115" s="54" t="n"/>
      <c r="M115" s="46">
        <f>IF($A115="","",LOWER(TRIM(SUBSTITUTE(SUBSTITUTE(SUBSTITUTE(SUBSTITUTE(SUBSTITUTE(SUBSTITUTE(SUBSTITUTE(SUBSTITUTE(SUBSTITUTE(SUBSTITUTE(SUBSTITUTE(C115,".",""),",",""),";",""),":",""),"!",""),"?",""),"""",""),"'",""),"’",""),"“",""),"”",""))))</f>
        <v/>
      </c>
      <c r="N115" s="46">
        <f>IF($A115="","",SUBSTITUTE(SUBSTITUTE(LOWER(TRIM(SUBSTITUTE(SUBSTITUTE(SUBSTITUTE(SUBSTITUTE(SUBSTITUTE(SUBSTITUTE(SUBSTITUTE(SUBSTITUTE(SUBSTITUTE(SUBSTITUTE(SUBSTITUTE(D115,".",""),",",""),";",""),":",""),"!",""),"?",""),"""",""),"'",""),"’",""),"“",""),"”","")))," |","|"),"| ","|"))</f>
        <v/>
      </c>
      <c r="O115" s="46">
        <f>IF($A115="","",LOWER(TRIM(SUBSTITUTE(SUBSTITUTE(SUBSTITUTE(SUBSTITUTE(SUBSTITUTE(SUBSTITUTE(SUBSTITUTE(SUBSTITUTE(SUBSTITUTE(SUBSTITUTE(SUBSTITUTE(E115,".",""),",",""),";",""),":",""),"!",""),"?",""),"""",""),"'",""),"’",""),"“",""),"”",""))))</f>
        <v/>
      </c>
      <c r="P115" s="46">
        <f>IF($A115="","",LOWER(TRIM(SUBSTITUTE(SUBSTITUTE(SUBSTITUTE(SUBSTITUTE(SUBSTITUTE(SUBSTITUTE(SUBSTITUTE(SUBSTITUTE(SUBSTITUTE(SUBSTITUTE(SUBSTITUTE(F115,".",""),",",""),";",""),":",""),"!",""),"?",""),"""",""),"'",""),"’",""),"“",""),"”",""))))</f>
        <v/>
      </c>
      <c r="Q115" s="46">
        <f>IF($A115="","",LOWER(TRIM(SUBSTITUTE(SUBSTITUTE(SUBSTITUTE(SUBSTITUTE(SUBSTITUTE(SUBSTITUTE(SUBSTITUTE(SUBSTITUTE(SUBSTITUTE(SUBSTITUTE(SUBSTITUTE(G115,".",""),",",""),";",""),":",""),"!",""),"?",""),"""",""),"'",""),"’",""),"“",""),"”",""))))</f>
        <v/>
      </c>
      <c r="R115" s="46">
        <f>IF($A115="","",LEN(O115))</f>
        <v/>
      </c>
      <c r="S115" s="46">
        <f>IF($A115="","",IF(O115="",0,LEN(O115)-LEN(SUBSTITUTE(O115," ",""))+1))</f>
        <v/>
      </c>
      <c r="T115" s="46">
        <f>IF($A115="","",IF(AND(O115&lt;&gt;"",OR(O115=M115,AND(N115&lt;&gt;"",ISNUMBER(FIND("|"&amp;O115&amp;"|","|"&amp;N115&amp;"|"))))),1,0))</f>
        <v/>
      </c>
      <c r="U115" s="46">
        <f>IF($A115="","",IF(AND(Q115&lt;&gt;"",OR(Q115=M115,AND(N115&lt;&gt;"",ISNUMBER(FIND("|"&amp;Q115&amp;"|","|"&amp;N115&amp;"|"))))),1,0))</f>
        <v/>
      </c>
      <c r="V115" s="46">
        <f>IF($A115="","",IF(P115=O115,1,0))</f>
        <v/>
      </c>
      <c r="W115" s="46">
        <f>IF($A115="","",IF(Q115=O115,1,0))</f>
        <v/>
      </c>
      <c r="X115" s="46">
        <f>IF(OR($A115="",$H115=""),"",IF(AND($H115=1,T115=1),"TA",IF(AND($H115=0,T115=1),"FA",IF($H115=1,"FR","TR"))))</f>
        <v/>
      </c>
      <c r="Y115" s="46">
        <f>IF(OR($A115="",$H115=""),"",IF(AND($H115=1,U115=1),"TA",IF(AND($H115=0,U115=1),"FA",IF($H115=1,"FR","TR"))))</f>
        <v/>
      </c>
    </row>
    <row r="116" ht="15" customHeight="1" s="28">
      <c r="A116" s="54" t="n"/>
      <c r="B116" s="54" t="n"/>
      <c r="C116" s="54" t="n"/>
      <c r="D116" s="54" t="n"/>
      <c r="E116" s="54" t="n"/>
      <c r="F116" s="54" t="n"/>
      <c r="G116" s="54" t="n"/>
      <c r="H116" s="54" t="n"/>
      <c r="I116" s="54" t="n"/>
      <c r="J116" s="54" t="n"/>
      <c r="K116" s="54" t="n"/>
      <c r="L116" s="54" t="n"/>
      <c r="M116" s="46">
        <f>IF($A116="","",LOWER(TRIM(SUBSTITUTE(SUBSTITUTE(SUBSTITUTE(SUBSTITUTE(SUBSTITUTE(SUBSTITUTE(SUBSTITUTE(SUBSTITUTE(SUBSTITUTE(SUBSTITUTE(SUBSTITUTE(C116,".",""),",",""),";",""),":",""),"!",""),"?",""),"""",""),"'",""),"’",""),"“",""),"”",""))))</f>
        <v/>
      </c>
      <c r="N116" s="46">
        <f>IF($A116="","",SUBSTITUTE(SUBSTITUTE(LOWER(TRIM(SUBSTITUTE(SUBSTITUTE(SUBSTITUTE(SUBSTITUTE(SUBSTITUTE(SUBSTITUTE(SUBSTITUTE(SUBSTITUTE(SUBSTITUTE(SUBSTITUTE(SUBSTITUTE(D116,".",""),",",""),";",""),":",""),"!",""),"?",""),"""",""),"'",""),"’",""),"“",""),"”","")))," |","|"),"| ","|"))</f>
        <v/>
      </c>
      <c r="O116" s="46">
        <f>IF($A116="","",LOWER(TRIM(SUBSTITUTE(SUBSTITUTE(SUBSTITUTE(SUBSTITUTE(SUBSTITUTE(SUBSTITUTE(SUBSTITUTE(SUBSTITUTE(SUBSTITUTE(SUBSTITUTE(SUBSTITUTE(E116,".",""),",",""),";",""),":",""),"!",""),"?",""),"""",""),"'",""),"’",""),"“",""),"”",""))))</f>
        <v/>
      </c>
      <c r="P116" s="46">
        <f>IF($A116="","",LOWER(TRIM(SUBSTITUTE(SUBSTITUTE(SUBSTITUTE(SUBSTITUTE(SUBSTITUTE(SUBSTITUTE(SUBSTITUTE(SUBSTITUTE(SUBSTITUTE(SUBSTITUTE(SUBSTITUTE(F116,".",""),",",""),";",""),":",""),"!",""),"?",""),"""",""),"'",""),"’",""),"“",""),"”",""))))</f>
        <v/>
      </c>
      <c r="Q116" s="46">
        <f>IF($A116="","",LOWER(TRIM(SUBSTITUTE(SUBSTITUTE(SUBSTITUTE(SUBSTITUTE(SUBSTITUTE(SUBSTITUTE(SUBSTITUTE(SUBSTITUTE(SUBSTITUTE(SUBSTITUTE(SUBSTITUTE(G116,".",""),",",""),";",""),":",""),"!",""),"?",""),"""",""),"'",""),"’",""),"“",""),"”",""))))</f>
        <v/>
      </c>
      <c r="R116" s="46">
        <f>IF($A116="","",LEN(O116))</f>
        <v/>
      </c>
      <c r="S116" s="46">
        <f>IF($A116="","",IF(O116="",0,LEN(O116)-LEN(SUBSTITUTE(O116," ",""))+1))</f>
        <v/>
      </c>
      <c r="T116" s="46">
        <f>IF($A116="","",IF(AND(O116&lt;&gt;"",OR(O116=M116,AND(N116&lt;&gt;"",ISNUMBER(FIND("|"&amp;O116&amp;"|","|"&amp;N116&amp;"|"))))),1,0))</f>
        <v/>
      </c>
      <c r="U116" s="46">
        <f>IF($A116="","",IF(AND(Q116&lt;&gt;"",OR(Q116=M116,AND(N116&lt;&gt;"",ISNUMBER(FIND("|"&amp;Q116&amp;"|","|"&amp;N116&amp;"|"))))),1,0))</f>
        <v/>
      </c>
      <c r="V116" s="46">
        <f>IF($A116="","",IF(P116=O116,1,0))</f>
        <v/>
      </c>
      <c r="W116" s="46">
        <f>IF($A116="","",IF(Q116=O116,1,0))</f>
        <v/>
      </c>
      <c r="X116" s="46">
        <f>IF(OR($A116="",$H116=""),"",IF(AND($H116=1,T116=1),"TA",IF(AND($H116=0,T116=1),"FA",IF($H116=1,"FR","TR"))))</f>
        <v/>
      </c>
      <c r="Y116" s="46">
        <f>IF(OR($A116="",$H116=""),"",IF(AND($H116=1,U116=1),"TA",IF(AND($H116=0,U116=1),"FA",IF($H116=1,"FR","TR"))))</f>
        <v/>
      </c>
    </row>
    <row r="117" ht="15" customHeight="1" s="28">
      <c r="A117" s="54" t="n"/>
      <c r="B117" s="54" t="n"/>
      <c r="C117" s="54" t="n"/>
      <c r="D117" s="54" t="n"/>
      <c r="E117" s="54" t="n"/>
      <c r="F117" s="54" t="n"/>
      <c r="G117" s="54" t="n"/>
      <c r="H117" s="54" t="n"/>
      <c r="I117" s="54" t="n"/>
      <c r="J117" s="54" t="n"/>
      <c r="K117" s="54" t="n"/>
      <c r="L117" s="54" t="n"/>
      <c r="M117" s="46">
        <f>IF($A117="","",LOWER(TRIM(SUBSTITUTE(SUBSTITUTE(SUBSTITUTE(SUBSTITUTE(SUBSTITUTE(SUBSTITUTE(SUBSTITUTE(SUBSTITUTE(SUBSTITUTE(SUBSTITUTE(SUBSTITUTE(C117,".",""),",",""),";",""),":",""),"!",""),"?",""),"""",""),"'",""),"’",""),"“",""),"”",""))))</f>
        <v/>
      </c>
      <c r="N117" s="46">
        <f>IF($A117="","",SUBSTITUTE(SUBSTITUTE(LOWER(TRIM(SUBSTITUTE(SUBSTITUTE(SUBSTITUTE(SUBSTITUTE(SUBSTITUTE(SUBSTITUTE(SUBSTITUTE(SUBSTITUTE(SUBSTITUTE(SUBSTITUTE(SUBSTITUTE(D117,".",""),",",""),";",""),":",""),"!",""),"?",""),"""",""),"'",""),"’",""),"“",""),"”","")))," |","|"),"| ","|"))</f>
        <v/>
      </c>
      <c r="O117" s="46">
        <f>IF($A117="","",LOWER(TRIM(SUBSTITUTE(SUBSTITUTE(SUBSTITUTE(SUBSTITUTE(SUBSTITUTE(SUBSTITUTE(SUBSTITUTE(SUBSTITUTE(SUBSTITUTE(SUBSTITUTE(SUBSTITUTE(E117,".",""),",",""),";",""),":",""),"!",""),"?",""),"""",""),"'",""),"’",""),"“",""),"”",""))))</f>
        <v/>
      </c>
      <c r="P117" s="46">
        <f>IF($A117="","",LOWER(TRIM(SUBSTITUTE(SUBSTITUTE(SUBSTITUTE(SUBSTITUTE(SUBSTITUTE(SUBSTITUTE(SUBSTITUTE(SUBSTITUTE(SUBSTITUTE(SUBSTITUTE(SUBSTITUTE(F117,".",""),",",""),";",""),":",""),"!",""),"?",""),"""",""),"'",""),"’",""),"“",""),"”",""))))</f>
        <v/>
      </c>
      <c r="Q117" s="46">
        <f>IF($A117="","",LOWER(TRIM(SUBSTITUTE(SUBSTITUTE(SUBSTITUTE(SUBSTITUTE(SUBSTITUTE(SUBSTITUTE(SUBSTITUTE(SUBSTITUTE(SUBSTITUTE(SUBSTITUTE(SUBSTITUTE(G117,".",""),",",""),";",""),":",""),"!",""),"?",""),"""",""),"'",""),"’",""),"“",""),"”",""))))</f>
        <v/>
      </c>
      <c r="R117" s="46">
        <f>IF($A117="","",LEN(O117))</f>
        <v/>
      </c>
      <c r="S117" s="46">
        <f>IF($A117="","",IF(O117="",0,LEN(O117)-LEN(SUBSTITUTE(O117," ",""))+1))</f>
        <v/>
      </c>
      <c r="T117" s="46">
        <f>IF($A117="","",IF(AND(O117&lt;&gt;"",OR(O117=M117,AND(N117&lt;&gt;"",ISNUMBER(FIND("|"&amp;O117&amp;"|","|"&amp;N117&amp;"|"))))),1,0))</f>
        <v/>
      </c>
      <c r="U117" s="46">
        <f>IF($A117="","",IF(AND(Q117&lt;&gt;"",OR(Q117=M117,AND(N117&lt;&gt;"",ISNUMBER(FIND("|"&amp;Q117&amp;"|","|"&amp;N117&amp;"|"))))),1,0))</f>
        <v/>
      </c>
      <c r="V117" s="46">
        <f>IF($A117="","",IF(P117=O117,1,0))</f>
        <v/>
      </c>
      <c r="W117" s="46">
        <f>IF($A117="","",IF(Q117=O117,1,0))</f>
        <v/>
      </c>
      <c r="X117" s="46">
        <f>IF(OR($A117="",$H117=""),"",IF(AND($H117=1,T117=1),"TA",IF(AND($H117=0,T117=1),"FA",IF($H117=1,"FR","TR"))))</f>
        <v/>
      </c>
      <c r="Y117" s="46">
        <f>IF(OR($A117="",$H117=""),"",IF(AND($H117=1,U117=1),"TA",IF(AND($H117=0,U117=1),"FA",IF($H117=1,"FR","TR"))))</f>
        <v/>
      </c>
    </row>
    <row r="118" ht="15" customHeight="1" s="28">
      <c r="A118" s="54" t="n"/>
      <c r="B118" s="54" t="n"/>
      <c r="C118" s="54" t="n"/>
      <c r="D118" s="54" t="n"/>
      <c r="E118" s="54" t="n"/>
      <c r="F118" s="54" t="n"/>
      <c r="G118" s="54" t="n"/>
      <c r="H118" s="54" t="n"/>
      <c r="I118" s="54" t="n"/>
      <c r="J118" s="54" t="n"/>
      <c r="K118" s="54" t="n"/>
      <c r="L118" s="54" t="n"/>
      <c r="M118" s="46">
        <f>IF($A118="","",LOWER(TRIM(SUBSTITUTE(SUBSTITUTE(SUBSTITUTE(SUBSTITUTE(SUBSTITUTE(SUBSTITUTE(SUBSTITUTE(SUBSTITUTE(SUBSTITUTE(SUBSTITUTE(SUBSTITUTE(C118,".",""),",",""),";",""),":",""),"!",""),"?",""),"""",""),"'",""),"’",""),"“",""),"”",""))))</f>
        <v/>
      </c>
      <c r="N118" s="46">
        <f>IF($A118="","",SUBSTITUTE(SUBSTITUTE(LOWER(TRIM(SUBSTITUTE(SUBSTITUTE(SUBSTITUTE(SUBSTITUTE(SUBSTITUTE(SUBSTITUTE(SUBSTITUTE(SUBSTITUTE(SUBSTITUTE(SUBSTITUTE(SUBSTITUTE(D118,".",""),",",""),";",""),":",""),"!",""),"?",""),"""",""),"'",""),"’",""),"“",""),"”","")))," |","|"),"| ","|"))</f>
        <v/>
      </c>
      <c r="O118" s="46">
        <f>IF($A118="","",LOWER(TRIM(SUBSTITUTE(SUBSTITUTE(SUBSTITUTE(SUBSTITUTE(SUBSTITUTE(SUBSTITUTE(SUBSTITUTE(SUBSTITUTE(SUBSTITUTE(SUBSTITUTE(SUBSTITUTE(E118,".",""),",",""),";",""),":",""),"!",""),"?",""),"""",""),"'",""),"’",""),"“",""),"”",""))))</f>
        <v/>
      </c>
      <c r="P118" s="46">
        <f>IF($A118="","",LOWER(TRIM(SUBSTITUTE(SUBSTITUTE(SUBSTITUTE(SUBSTITUTE(SUBSTITUTE(SUBSTITUTE(SUBSTITUTE(SUBSTITUTE(SUBSTITUTE(SUBSTITUTE(SUBSTITUTE(F118,".",""),",",""),";",""),":",""),"!",""),"?",""),"""",""),"'",""),"’",""),"“",""),"”",""))))</f>
        <v/>
      </c>
      <c r="Q118" s="46">
        <f>IF($A118="","",LOWER(TRIM(SUBSTITUTE(SUBSTITUTE(SUBSTITUTE(SUBSTITUTE(SUBSTITUTE(SUBSTITUTE(SUBSTITUTE(SUBSTITUTE(SUBSTITUTE(SUBSTITUTE(SUBSTITUTE(G118,".",""),",",""),";",""),":",""),"!",""),"?",""),"""",""),"'",""),"’",""),"“",""),"”",""))))</f>
        <v/>
      </c>
      <c r="R118" s="46">
        <f>IF($A118="","",LEN(O118))</f>
        <v/>
      </c>
      <c r="S118" s="46">
        <f>IF($A118="","",IF(O118="",0,LEN(O118)-LEN(SUBSTITUTE(O118," ",""))+1))</f>
        <v/>
      </c>
      <c r="T118" s="46">
        <f>IF($A118="","",IF(AND(O118&lt;&gt;"",OR(O118=M118,AND(N118&lt;&gt;"",ISNUMBER(FIND("|"&amp;O118&amp;"|","|"&amp;N118&amp;"|"))))),1,0))</f>
        <v/>
      </c>
      <c r="U118" s="46">
        <f>IF($A118="","",IF(AND(Q118&lt;&gt;"",OR(Q118=M118,AND(N118&lt;&gt;"",ISNUMBER(FIND("|"&amp;Q118&amp;"|","|"&amp;N118&amp;"|"))))),1,0))</f>
        <v/>
      </c>
      <c r="V118" s="46">
        <f>IF($A118="","",IF(P118=O118,1,0))</f>
        <v/>
      </c>
      <c r="W118" s="46">
        <f>IF($A118="","",IF(Q118=O118,1,0))</f>
        <v/>
      </c>
      <c r="X118" s="46">
        <f>IF(OR($A118="",$H118=""),"",IF(AND($H118=1,T118=1),"TA",IF(AND($H118=0,T118=1),"FA",IF($H118=1,"FR","TR"))))</f>
        <v/>
      </c>
      <c r="Y118" s="46">
        <f>IF(OR($A118="",$H118=""),"",IF(AND($H118=1,U118=1),"TA",IF(AND($H118=0,U118=1),"FA",IF($H118=1,"FR","TR"))))</f>
        <v/>
      </c>
    </row>
    <row r="119" ht="15" customHeight="1" s="28">
      <c r="A119" s="54" t="n"/>
      <c r="B119" s="54" t="n"/>
      <c r="C119" s="54" t="n"/>
      <c r="D119" s="54" t="n"/>
      <c r="E119" s="54" t="n"/>
      <c r="F119" s="54" t="n"/>
      <c r="G119" s="54" t="n"/>
      <c r="H119" s="54" t="n"/>
      <c r="I119" s="54" t="n"/>
      <c r="J119" s="54" t="n"/>
      <c r="K119" s="54" t="n"/>
      <c r="L119" s="54" t="n"/>
      <c r="M119" s="46">
        <f>IF($A119="","",LOWER(TRIM(SUBSTITUTE(SUBSTITUTE(SUBSTITUTE(SUBSTITUTE(SUBSTITUTE(SUBSTITUTE(SUBSTITUTE(SUBSTITUTE(SUBSTITUTE(SUBSTITUTE(SUBSTITUTE(C119,".",""),",",""),";",""),":",""),"!",""),"?",""),"""",""),"'",""),"’",""),"“",""),"”",""))))</f>
        <v/>
      </c>
      <c r="N119" s="46">
        <f>IF($A119="","",SUBSTITUTE(SUBSTITUTE(LOWER(TRIM(SUBSTITUTE(SUBSTITUTE(SUBSTITUTE(SUBSTITUTE(SUBSTITUTE(SUBSTITUTE(SUBSTITUTE(SUBSTITUTE(SUBSTITUTE(SUBSTITUTE(SUBSTITUTE(D119,".",""),",",""),";",""),":",""),"!",""),"?",""),"""",""),"'",""),"’",""),"“",""),"”","")))," |","|"),"| ","|"))</f>
        <v/>
      </c>
      <c r="O119" s="46">
        <f>IF($A119="","",LOWER(TRIM(SUBSTITUTE(SUBSTITUTE(SUBSTITUTE(SUBSTITUTE(SUBSTITUTE(SUBSTITUTE(SUBSTITUTE(SUBSTITUTE(SUBSTITUTE(SUBSTITUTE(SUBSTITUTE(E119,".",""),",",""),";",""),":",""),"!",""),"?",""),"""",""),"'",""),"’",""),"“",""),"”",""))))</f>
        <v/>
      </c>
      <c r="P119" s="46">
        <f>IF($A119="","",LOWER(TRIM(SUBSTITUTE(SUBSTITUTE(SUBSTITUTE(SUBSTITUTE(SUBSTITUTE(SUBSTITUTE(SUBSTITUTE(SUBSTITUTE(SUBSTITUTE(SUBSTITUTE(SUBSTITUTE(F119,".",""),",",""),";",""),":",""),"!",""),"?",""),"""",""),"'",""),"’",""),"“",""),"”",""))))</f>
        <v/>
      </c>
      <c r="Q119" s="46">
        <f>IF($A119="","",LOWER(TRIM(SUBSTITUTE(SUBSTITUTE(SUBSTITUTE(SUBSTITUTE(SUBSTITUTE(SUBSTITUTE(SUBSTITUTE(SUBSTITUTE(SUBSTITUTE(SUBSTITUTE(SUBSTITUTE(G119,".",""),",",""),";",""),":",""),"!",""),"?",""),"""",""),"'",""),"’",""),"“",""),"”",""))))</f>
        <v/>
      </c>
      <c r="R119" s="46">
        <f>IF($A119="","",LEN(O119))</f>
        <v/>
      </c>
      <c r="S119" s="46">
        <f>IF($A119="","",IF(O119="",0,LEN(O119)-LEN(SUBSTITUTE(O119," ",""))+1))</f>
        <v/>
      </c>
      <c r="T119" s="46">
        <f>IF($A119="","",IF(AND(O119&lt;&gt;"",OR(O119=M119,AND(N119&lt;&gt;"",ISNUMBER(FIND("|"&amp;O119&amp;"|","|"&amp;N119&amp;"|"))))),1,0))</f>
        <v/>
      </c>
      <c r="U119" s="46">
        <f>IF($A119="","",IF(AND(Q119&lt;&gt;"",OR(Q119=M119,AND(N119&lt;&gt;"",ISNUMBER(FIND("|"&amp;Q119&amp;"|","|"&amp;N119&amp;"|"))))),1,0))</f>
        <v/>
      </c>
      <c r="V119" s="46">
        <f>IF($A119="","",IF(P119=O119,1,0))</f>
        <v/>
      </c>
      <c r="W119" s="46">
        <f>IF($A119="","",IF(Q119=O119,1,0))</f>
        <v/>
      </c>
      <c r="X119" s="46">
        <f>IF(OR($A119="",$H119=""),"",IF(AND($H119=1,T119=1),"TA",IF(AND($H119=0,T119=1),"FA",IF($H119=1,"FR","TR"))))</f>
        <v/>
      </c>
      <c r="Y119" s="46">
        <f>IF(OR($A119="",$H119=""),"",IF(AND($H119=1,U119=1),"TA",IF(AND($H119=0,U119=1),"FA",IF($H119=1,"FR","TR"))))</f>
        <v/>
      </c>
    </row>
    <row r="120" ht="15" customHeight="1" s="28">
      <c r="A120" s="54" t="n"/>
      <c r="B120" s="54" t="n"/>
      <c r="C120" s="54" t="n"/>
      <c r="D120" s="54" t="n"/>
      <c r="E120" s="54" t="n"/>
      <c r="F120" s="54" t="n"/>
      <c r="G120" s="54" t="n"/>
      <c r="H120" s="54" t="n"/>
      <c r="I120" s="54" t="n"/>
      <c r="J120" s="54" t="n"/>
      <c r="K120" s="54" t="n"/>
      <c r="L120" s="54" t="n"/>
      <c r="M120" s="46">
        <f>IF($A120="","",LOWER(TRIM(SUBSTITUTE(SUBSTITUTE(SUBSTITUTE(SUBSTITUTE(SUBSTITUTE(SUBSTITUTE(SUBSTITUTE(SUBSTITUTE(SUBSTITUTE(SUBSTITUTE(SUBSTITUTE(C120,".",""),",",""),";",""),":",""),"!",""),"?",""),"""",""),"'",""),"’",""),"“",""),"”",""))))</f>
        <v/>
      </c>
      <c r="N120" s="46">
        <f>IF($A120="","",SUBSTITUTE(SUBSTITUTE(LOWER(TRIM(SUBSTITUTE(SUBSTITUTE(SUBSTITUTE(SUBSTITUTE(SUBSTITUTE(SUBSTITUTE(SUBSTITUTE(SUBSTITUTE(SUBSTITUTE(SUBSTITUTE(SUBSTITUTE(D120,".",""),",",""),";",""),":",""),"!",""),"?",""),"""",""),"'",""),"’",""),"“",""),"”","")))," |","|"),"| ","|"))</f>
        <v/>
      </c>
      <c r="O120" s="46">
        <f>IF($A120="","",LOWER(TRIM(SUBSTITUTE(SUBSTITUTE(SUBSTITUTE(SUBSTITUTE(SUBSTITUTE(SUBSTITUTE(SUBSTITUTE(SUBSTITUTE(SUBSTITUTE(SUBSTITUTE(SUBSTITUTE(E120,".",""),",",""),";",""),":",""),"!",""),"?",""),"""",""),"'",""),"’",""),"“",""),"”",""))))</f>
        <v/>
      </c>
      <c r="P120" s="46">
        <f>IF($A120="","",LOWER(TRIM(SUBSTITUTE(SUBSTITUTE(SUBSTITUTE(SUBSTITUTE(SUBSTITUTE(SUBSTITUTE(SUBSTITUTE(SUBSTITUTE(SUBSTITUTE(SUBSTITUTE(SUBSTITUTE(F120,".",""),",",""),";",""),":",""),"!",""),"?",""),"""",""),"'",""),"’",""),"“",""),"”",""))))</f>
        <v/>
      </c>
      <c r="Q120" s="46">
        <f>IF($A120="","",LOWER(TRIM(SUBSTITUTE(SUBSTITUTE(SUBSTITUTE(SUBSTITUTE(SUBSTITUTE(SUBSTITUTE(SUBSTITUTE(SUBSTITUTE(SUBSTITUTE(SUBSTITUTE(SUBSTITUTE(G120,".",""),",",""),";",""),":",""),"!",""),"?",""),"""",""),"'",""),"’",""),"“",""),"”",""))))</f>
        <v/>
      </c>
      <c r="R120" s="46">
        <f>IF($A120="","",LEN(O120))</f>
        <v/>
      </c>
      <c r="S120" s="46">
        <f>IF($A120="","",IF(O120="",0,LEN(O120)-LEN(SUBSTITUTE(O120," ",""))+1))</f>
        <v/>
      </c>
      <c r="T120" s="46">
        <f>IF($A120="","",IF(AND(O120&lt;&gt;"",OR(O120=M120,AND(N120&lt;&gt;"",ISNUMBER(FIND("|"&amp;O120&amp;"|","|"&amp;N120&amp;"|"))))),1,0))</f>
        <v/>
      </c>
      <c r="U120" s="46">
        <f>IF($A120="","",IF(AND(Q120&lt;&gt;"",OR(Q120=M120,AND(N120&lt;&gt;"",ISNUMBER(FIND("|"&amp;Q120&amp;"|","|"&amp;N120&amp;"|"))))),1,0))</f>
        <v/>
      </c>
      <c r="V120" s="46">
        <f>IF($A120="","",IF(P120=O120,1,0))</f>
        <v/>
      </c>
      <c r="W120" s="46">
        <f>IF($A120="","",IF(Q120=O120,1,0))</f>
        <v/>
      </c>
      <c r="X120" s="46">
        <f>IF(OR($A120="",$H120=""),"",IF(AND($H120=1,T120=1),"TA",IF(AND($H120=0,T120=1),"FA",IF($H120=1,"FR","TR"))))</f>
        <v/>
      </c>
      <c r="Y120" s="46">
        <f>IF(OR($A120="",$H120=""),"",IF(AND($H120=1,U120=1),"TA",IF(AND($H120=0,U120=1),"FA",IF($H120=1,"FR","TR"))))</f>
        <v/>
      </c>
    </row>
    <row r="121" ht="15" customHeight="1" s="28">
      <c r="A121" s="54" t="n"/>
      <c r="B121" s="54" t="n"/>
      <c r="C121" s="54" t="n"/>
      <c r="D121" s="54" t="n"/>
      <c r="E121" s="54" t="n"/>
      <c r="F121" s="54" t="n"/>
      <c r="G121" s="54" t="n"/>
      <c r="H121" s="54" t="n"/>
      <c r="I121" s="54" t="n"/>
      <c r="J121" s="54" t="n"/>
      <c r="K121" s="54" t="n"/>
      <c r="L121" s="54" t="n"/>
      <c r="M121" s="46">
        <f>IF($A121="","",LOWER(TRIM(SUBSTITUTE(SUBSTITUTE(SUBSTITUTE(SUBSTITUTE(SUBSTITUTE(SUBSTITUTE(SUBSTITUTE(SUBSTITUTE(SUBSTITUTE(SUBSTITUTE(SUBSTITUTE(C121,".",""),",",""),";",""),":",""),"!",""),"?",""),"""",""),"'",""),"’",""),"“",""),"”",""))))</f>
        <v/>
      </c>
      <c r="N121" s="46">
        <f>IF($A121="","",SUBSTITUTE(SUBSTITUTE(LOWER(TRIM(SUBSTITUTE(SUBSTITUTE(SUBSTITUTE(SUBSTITUTE(SUBSTITUTE(SUBSTITUTE(SUBSTITUTE(SUBSTITUTE(SUBSTITUTE(SUBSTITUTE(SUBSTITUTE(D121,".",""),",",""),";",""),":",""),"!",""),"?",""),"""",""),"'",""),"’",""),"“",""),"”","")))," |","|"),"| ","|"))</f>
        <v/>
      </c>
      <c r="O121" s="46">
        <f>IF($A121="","",LOWER(TRIM(SUBSTITUTE(SUBSTITUTE(SUBSTITUTE(SUBSTITUTE(SUBSTITUTE(SUBSTITUTE(SUBSTITUTE(SUBSTITUTE(SUBSTITUTE(SUBSTITUTE(SUBSTITUTE(E121,".",""),",",""),";",""),":",""),"!",""),"?",""),"""",""),"'",""),"’",""),"“",""),"”",""))))</f>
        <v/>
      </c>
      <c r="P121" s="46">
        <f>IF($A121="","",LOWER(TRIM(SUBSTITUTE(SUBSTITUTE(SUBSTITUTE(SUBSTITUTE(SUBSTITUTE(SUBSTITUTE(SUBSTITUTE(SUBSTITUTE(SUBSTITUTE(SUBSTITUTE(SUBSTITUTE(F121,".",""),",",""),";",""),":",""),"!",""),"?",""),"""",""),"'",""),"’",""),"“",""),"”",""))))</f>
        <v/>
      </c>
      <c r="Q121" s="46">
        <f>IF($A121="","",LOWER(TRIM(SUBSTITUTE(SUBSTITUTE(SUBSTITUTE(SUBSTITUTE(SUBSTITUTE(SUBSTITUTE(SUBSTITUTE(SUBSTITUTE(SUBSTITUTE(SUBSTITUTE(SUBSTITUTE(G121,".",""),",",""),";",""),":",""),"!",""),"?",""),"""",""),"'",""),"’",""),"“",""),"”",""))))</f>
        <v/>
      </c>
      <c r="R121" s="46">
        <f>IF($A121="","",LEN(O121))</f>
        <v/>
      </c>
      <c r="S121" s="46">
        <f>IF($A121="","",IF(O121="",0,LEN(O121)-LEN(SUBSTITUTE(O121," ",""))+1))</f>
        <v/>
      </c>
      <c r="T121" s="46">
        <f>IF($A121="","",IF(AND(O121&lt;&gt;"",OR(O121=M121,AND(N121&lt;&gt;"",ISNUMBER(FIND("|"&amp;O121&amp;"|","|"&amp;N121&amp;"|"))))),1,0))</f>
        <v/>
      </c>
      <c r="U121" s="46">
        <f>IF($A121="","",IF(AND(Q121&lt;&gt;"",OR(Q121=M121,AND(N121&lt;&gt;"",ISNUMBER(FIND("|"&amp;Q121&amp;"|","|"&amp;N121&amp;"|"))))),1,0))</f>
        <v/>
      </c>
      <c r="V121" s="46">
        <f>IF($A121="","",IF(P121=O121,1,0))</f>
        <v/>
      </c>
      <c r="W121" s="46">
        <f>IF($A121="","",IF(Q121=O121,1,0))</f>
        <v/>
      </c>
      <c r="X121" s="46">
        <f>IF(OR($A121="",$H121=""),"",IF(AND($H121=1,T121=1),"TA",IF(AND($H121=0,T121=1),"FA",IF($H121=1,"FR","TR"))))</f>
        <v/>
      </c>
      <c r="Y121" s="46">
        <f>IF(OR($A121="",$H121=""),"",IF(AND($H121=1,U121=1),"TA",IF(AND($H121=0,U121=1),"FA",IF($H121=1,"FR","TR"))))</f>
        <v/>
      </c>
    </row>
    <row r="122" ht="15" customHeight="1" s="28">
      <c r="A122" s="54" t="n"/>
      <c r="B122" s="54" t="n"/>
      <c r="C122" s="54" t="n"/>
      <c r="D122" s="54" t="n"/>
      <c r="E122" s="54" t="n"/>
      <c r="F122" s="54" t="n"/>
      <c r="G122" s="54" t="n"/>
      <c r="H122" s="54" t="n"/>
      <c r="I122" s="54" t="n"/>
      <c r="J122" s="54" t="n"/>
      <c r="K122" s="54" t="n"/>
      <c r="L122" s="54" t="n"/>
      <c r="M122" s="46">
        <f>IF($A122="","",LOWER(TRIM(SUBSTITUTE(SUBSTITUTE(SUBSTITUTE(SUBSTITUTE(SUBSTITUTE(SUBSTITUTE(SUBSTITUTE(SUBSTITUTE(SUBSTITUTE(SUBSTITUTE(SUBSTITUTE(C122,".",""),",",""),";",""),":",""),"!",""),"?",""),"""",""),"'",""),"’",""),"“",""),"”",""))))</f>
        <v/>
      </c>
      <c r="N122" s="46">
        <f>IF($A122="","",SUBSTITUTE(SUBSTITUTE(LOWER(TRIM(SUBSTITUTE(SUBSTITUTE(SUBSTITUTE(SUBSTITUTE(SUBSTITUTE(SUBSTITUTE(SUBSTITUTE(SUBSTITUTE(SUBSTITUTE(SUBSTITUTE(SUBSTITUTE(D122,".",""),",",""),";",""),":",""),"!",""),"?",""),"""",""),"'",""),"’",""),"“",""),"”","")))," |","|"),"| ","|"))</f>
        <v/>
      </c>
      <c r="O122" s="46">
        <f>IF($A122="","",LOWER(TRIM(SUBSTITUTE(SUBSTITUTE(SUBSTITUTE(SUBSTITUTE(SUBSTITUTE(SUBSTITUTE(SUBSTITUTE(SUBSTITUTE(SUBSTITUTE(SUBSTITUTE(SUBSTITUTE(E122,".",""),",",""),";",""),":",""),"!",""),"?",""),"""",""),"'",""),"’",""),"“",""),"”",""))))</f>
        <v/>
      </c>
      <c r="P122" s="46">
        <f>IF($A122="","",LOWER(TRIM(SUBSTITUTE(SUBSTITUTE(SUBSTITUTE(SUBSTITUTE(SUBSTITUTE(SUBSTITUTE(SUBSTITUTE(SUBSTITUTE(SUBSTITUTE(SUBSTITUTE(SUBSTITUTE(F122,".",""),",",""),";",""),":",""),"!",""),"?",""),"""",""),"'",""),"’",""),"“",""),"”",""))))</f>
        <v/>
      </c>
      <c r="Q122" s="46">
        <f>IF($A122="","",LOWER(TRIM(SUBSTITUTE(SUBSTITUTE(SUBSTITUTE(SUBSTITUTE(SUBSTITUTE(SUBSTITUTE(SUBSTITUTE(SUBSTITUTE(SUBSTITUTE(SUBSTITUTE(SUBSTITUTE(G122,".",""),",",""),";",""),":",""),"!",""),"?",""),"""",""),"'",""),"’",""),"“",""),"”",""))))</f>
        <v/>
      </c>
      <c r="R122" s="46">
        <f>IF($A122="","",LEN(O122))</f>
        <v/>
      </c>
      <c r="S122" s="46">
        <f>IF($A122="","",IF(O122="",0,LEN(O122)-LEN(SUBSTITUTE(O122," ",""))+1))</f>
        <v/>
      </c>
      <c r="T122" s="46">
        <f>IF($A122="","",IF(AND(O122&lt;&gt;"",OR(O122=M122,AND(N122&lt;&gt;"",ISNUMBER(FIND("|"&amp;O122&amp;"|","|"&amp;N122&amp;"|"))))),1,0))</f>
        <v/>
      </c>
      <c r="U122" s="46">
        <f>IF($A122="","",IF(AND(Q122&lt;&gt;"",OR(Q122=M122,AND(N122&lt;&gt;"",ISNUMBER(FIND("|"&amp;Q122&amp;"|","|"&amp;N122&amp;"|"))))),1,0))</f>
        <v/>
      </c>
      <c r="V122" s="46">
        <f>IF($A122="","",IF(P122=O122,1,0))</f>
        <v/>
      </c>
      <c r="W122" s="46">
        <f>IF($A122="","",IF(Q122=O122,1,0))</f>
        <v/>
      </c>
      <c r="X122" s="46">
        <f>IF(OR($A122="",$H122=""),"",IF(AND($H122=1,T122=1),"TA",IF(AND($H122=0,T122=1),"FA",IF($H122=1,"FR","TR"))))</f>
        <v/>
      </c>
      <c r="Y122" s="46">
        <f>IF(OR($A122="",$H122=""),"",IF(AND($H122=1,U122=1),"TA",IF(AND($H122=0,U122=1),"FA",IF($H122=1,"FR","TR"))))</f>
        <v/>
      </c>
    </row>
    <row r="123" ht="15" customHeight="1" s="28">
      <c r="A123" s="54" t="n"/>
      <c r="B123" s="54" t="n"/>
      <c r="C123" s="54" t="n"/>
      <c r="D123" s="54" t="n"/>
      <c r="E123" s="54" t="n"/>
      <c r="F123" s="54" t="n"/>
      <c r="G123" s="54" t="n"/>
      <c r="H123" s="54" t="n"/>
      <c r="I123" s="54" t="n"/>
      <c r="J123" s="54" t="n"/>
      <c r="K123" s="54" t="n"/>
      <c r="L123" s="54" t="n"/>
      <c r="M123" s="46">
        <f>IF($A123="","",LOWER(TRIM(SUBSTITUTE(SUBSTITUTE(SUBSTITUTE(SUBSTITUTE(SUBSTITUTE(SUBSTITUTE(SUBSTITUTE(SUBSTITUTE(SUBSTITUTE(SUBSTITUTE(SUBSTITUTE(C123,".",""),",",""),";",""),":",""),"!",""),"?",""),"""",""),"'",""),"’",""),"“",""),"”",""))))</f>
        <v/>
      </c>
      <c r="N123" s="46">
        <f>IF($A123="","",SUBSTITUTE(SUBSTITUTE(LOWER(TRIM(SUBSTITUTE(SUBSTITUTE(SUBSTITUTE(SUBSTITUTE(SUBSTITUTE(SUBSTITUTE(SUBSTITUTE(SUBSTITUTE(SUBSTITUTE(SUBSTITUTE(SUBSTITUTE(D123,".",""),",",""),";",""),":",""),"!",""),"?",""),"""",""),"'",""),"’",""),"“",""),"”","")))," |","|"),"| ","|"))</f>
        <v/>
      </c>
      <c r="O123" s="46">
        <f>IF($A123="","",LOWER(TRIM(SUBSTITUTE(SUBSTITUTE(SUBSTITUTE(SUBSTITUTE(SUBSTITUTE(SUBSTITUTE(SUBSTITUTE(SUBSTITUTE(SUBSTITUTE(SUBSTITUTE(SUBSTITUTE(E123,".",""),",",""),";",""),":",""),"!",""),"?",""),"""",""),"'",""),"’",""),"“",""),"”",""))))</f>
        <v/>
      </c>
      <c r="P123" s="46">
        <f>IF($A123="","",LOWER(TRIM(SUBSTITUTE(SUBSTITUTE(SUBSTITUTE(SUBSTITUTE(SUBSTITUTE(SUBSTITUTE(SUBSTITUTE(SUBSTITUTE(SUBSTITUTE(SUBSTITUTE(SUBSTITUTE(F123,".",""),",",""),";",""),":",""),"!",""),"?",""),"""",""),"'",""),"’",""),"“",""),"”",""))))</f>
        <v/>
      </c>
      <c r="Q123" s="46">
        <f>IF($A123="","",LOWER(TRIM(SUBSTITUTE(SUBSTITUTE(SUBSTITUTE(SUBSTITUTE(SUBSTITUTE(SUBSTITUTE(SUBSTITUTE(SUBSTITUTE(SUBSTITUTE(SUBSTITUTE(SUBSTITUTE(G123,".",""),",",""),";",""),":",""),"!",""),"?",""),"""",""),"'",""),"’",""),"“",""),"”",""))))</f>
        <v/>
      </c>
      <c r="R123" s="46">
        <f>IF($A123="","",LEN(O123))</f>
        <v/>
      </c>
      <c r="S123" s="46">
        <f>IF($A123="","",IF(O123="",0,LEN(O123)-LEN(SUBSTITUTE(O123," ",""))+1))</f>
        <v/>
      </c>
      <c r="T123" s="46">
        <f>IF($A123="","",IF(AND(O123&lt;&gt;"",OR(O123=M123,AND(N123&lt;&gt;"",ISNUMBER(FIND("|"&amp;O123&amp;"|","|"&amp;N123&amp;"|"))))),1,0))</f>
        <v/>
      </c>
      <c r="U123" s="46">
        <f>IF($A123="","",IF(AND(Q123&lt;&gt;"",OR(Q123=M123,AND(N123&lt;&gt;"",ISNUMBER(FIND("|"&amp;Q123&amp;"|","|"&amp;N123&amp;"|"))))),1,0))</f>
        <v/>
      </c>
      <c r="V123" s="46">
        <f>IF($A123="","",IF(P123=O123,1,0))</f>
        <v/>
      </c>
      <c r="W123" s="46">
        <f>IF($A123="","",IF(Q123=O123,1,0))</f>
        <v/>
      </c>
      <c r="X123" s="46">
        <f>IF(OR($A123="",$H123=""),"",IF(AND($H123=1,T123=1),"TA",IF(AND($H123=0,T123=1),"FA",IF($H123=1,"FR","TR"))))</f>
        <v/>
      </c>
      <c r="Y123" s="46">
        <f>IF(OR($A123="",$H123=""),"",IF(AND($H123=1,U123=1),"TA",IF(AND($H123=0,U123=1),"FA",IF($H123=1,"FR","TR"))))</f>
        <v/>
      </c>
    </row>
    <row r="124" ht="15" customHeight="1" s="28">
      <c r="A124" s="54" t="n"/>
      <c r="B124" s="54" t="n"/>
      <c r="C124" s="54" t="n"/>
      <c r="D124" s="54" t="n"/>
      <c r="E124" s="54" t="n"/>
      <c r="F124" s="54" t="n"/>
      <c r="G124" s="54" t="n"/>
      <c r="H124" s="54" t="n"/>
      <c r="I124" s="54" t="n"/>
      <c r="J124" s="54" t="n"/>
      <c r="K124" s="54" t="n"/>
      <c r="L124" s="54" t="n"/>
      <c r="M124" s="46">
        <f>IF($A124="","",LOWER(TRIM(SUBSTITUTE(SUBSTITUTE(SUBSTITUTE(SUBSTITUTE(SUBSTITUTE(SUBSTITUTE(SUBSTITUTE(SUBSTITUTE(SUBSTITUTE(SUBSTITUTE(SUBSTITUTE(C124,".",""),",",""),";",""),":",""),"!",""),"?",""),"""",""),"'",""),"’",""),"“",""),"”",""))))</f>
        <v/>
      </c>
      <c r="N124" s="46">
        <f>IF($A124="","",SUBSTITUTE(SUBSTITUTE(LOWER(TRIM(SUBSTITUTE(SUBSTITUTE(SUBSTITUTE(SUBSTITUTE(SUBSTITUTE(SUBSTITUTE(SUBSTITUTE(SUBSTITUTE(SUBSTITUTE(SUBSTITUTE(SUBSTITUTE(D124,".",""),",",""),";",""),":",""),"!",""),"?",""),"""",""),"'",""),"’",""),"“",""),"”","")))," |","|"),"| ","|"))</f>
        <v/>
      </c>
      <c r="O124" s="46">
        <f>IF($A124="","",LOWER(TRIM(SUBSTITUTE(SUBSTITUTE(SUBSTITUTE(SUBSTITUTE(SUBSTITUTE(SUBSTITUTE(SUBSTITUTE(SUBSTITUTE(SUBSTITUTE(SUBSTITUTE(SUBSTITUTE(E124,".",""),",",""),";",""),":",""),"!",""),"?",""),"""",""),"'",""),"’",""),"“",""),"”",""))))</f>
        <v/>
      </c>
      <c r="P124" s="46">
        <f>IF($A124="","",LOWER(TRIM(SUBSTITUTE(SUBSTITUTE(SUBSTITUTE(SUBSTITUTE(SUBSTITUTE(SUBSTITUTE(SUBSTITUTE(SUBSTITUTE(SUBSTITUTE(SUBSTITUTE(SUBSTITUTE(F124,".",""),",",""),";",""),":",""),"!",""),"?",""),"""",""),"'",""),"’",""),"“",""),"”",""))))</f>
        <v/>
      </c>
      <c r="Q124" s="46">
        <f>IF($A124="","",LOWER(TRIM(SUBSTITUTE(SUBSTITUTE(SUBSTITUTE(SUBSTITUTE(SUBSTITUTE(SUBSTITUTE(SUBSTITUTE(SUBSTITUTE(SUBSTITUTE(SUBSTITUTE(SUBSTITUTE(G124,".",""),",",""),";",""),":",""),"!",""),"?",""),"""",""),"'",""),"’",""),"“",""),"”",""))))</f>
        <v/>
      </c>
      <c r="R124" s="46">
        <f>IF($A124="","",LEN(O124))</f>
        <v/>
      </c>
      <c r="S124" s="46">
        <f>IF($A124="","",IF(O124="",0,LEN(O124)-LEN(SUBSTITUTE(O124," ",""))+1))</f>
        <v/>
      </c>
      <c r="T124" s="46">
        <f>IF($A124="","",IF(AND(O124&lt;&gt;"",OR(O124=M124,AND(N124&lt;&gt;"",ISNUMBER(FIND("|"&amp;O124&amp;"|","|"&amp;N124&amp;"|"))))),1,0))</f>
        <v/>
      </c>
      <c r="U124" s="46">
        <f>IF($A124="","",IF(AND(Q124&lt;&gt;"",OR(Q124=M124,AND(N124&lt;&gt;"",ISNUMBER(FIND("|"&amp;Q124&amp;"|","|"&amp;N124&amp;"|"))))),1,0))</f>
        <v/>
      </c>
      <c r="V124" s="46">
        <f>IF($A124="","",IF(P124=O124,1,0))</f>
        <v/>
      </c>
      <c r="W124" s="46">
        <f>IF($A124="","",IF(Q124=O124,1,0))</f>
        <v/>
      </c>
      <c r="X124" s="46">
        <f>IF(OR($A124="",$H124=""),"",IF(AND($H124=1,T124=1),"TA",IF(AND($H124=0,T124=1),"FA",IF($H124=1,"FR","TR"))))</f>
        <v/>
      </c>
      <c r="Y124" s="46">
        <f>IF(OR($A124="",$H124=""),"",IF(AND($H124=1,U124=1),"TA",IF(AND($H124=0,U124=1),"FA",IF($H124=1,"FR","TR"))))</f>
        <v/>
      </c>
    </row>
    <row r="125" ht="15" customHeight="1" s="28">
      <c r="A125" s="54" t="n"/>
      <c r="B125" s="54" t="n"/>
      <c r="C125" s="54" t="n"/>
      <c r="D125" s="54" t="n"/>
      <c r="E125" s="54" t="n"/>
      <c r="F125" s="54" t="n"/>
      <c r="G125" s="54" t="n"/>
      <c r="H125" s="54" t="n"/>
      <c r="I125" s="54" t="n"/>
      <c r="J125" s="54" t="n"/>
      <c r="K125" s="54" t="n"/>
      <c r="L125" s="54" t="n"/>
      <c r="M125" s="46">
        <f>IF($A125="","",LOWER(TRIM(SUBSTITUTE(SUBSTITUTE(SUBSTITUTE(SUBSTITUTE(SUBSTITUTE(SUBSTITUTE(SUBSTITUTE(SUBSTITUTE(SUBSTITUTE(SUBSTITUTE(SUBSTITUTE(C125,".",""),",",""),";",""),":",""),"!",""),"?",""),"""",""),"'",""),"’",""),"“",""),"”",""))))</f>
        <v/>
      </c>
      <c r="N125" s="46">
        <f>IF($A125="","",SUBSTITUTE(SUBSTITUTE(LOWER(TRIM(SUBSTITUTE(SUBSTITUTE(SUBSTITUTE(SUBSTITUTE(SUBSTITUTE(SUBSTITUTE(SUBSTITUTE(SUBSTITUTE(SUBSTITUTE(SUBSTITUTE(SUBSTITUTE(D125,".",""),",",""),";",""),":",""),"!",""),"?",""),"""",""),"'",""),"’",""),"“",""),"”","")))," |","|"),"| ","|"))</f>
        <v/>
      </c>
      <c r="O125" s="46">
        <f>IF($A125="","",LOWER(TRIM(SUBSTITUTE(SUBSTITUTE(SUBSTITUTE(SUBSTITUTE(SUBSTITUTE(SUBSTITUTE(SUBSTITUTE(SUBSTITUTE(SUBSTITUTE(SUBSTITUTE(SUBSTITUTE(E125,".",""),",",""),";",""),":",""),"!",""),"?",""),"""",""),"'",""),"’",""),"“",""),"”",""))))</f>
        <v/>
      </c>
      <c r="P125" s="46">
        <f>IF($A125="","",LOWER(TRIM(SUBSTITUTE(SUBSTITUTE(SUBSTITUTE(SUBSTITUTE(SUBSTITUTE(SUBSTITUTE(SUBSTITUTE(SUBSTITUTE(SUBSTITUTE(SUBSTITUTE(SUBSTITUTE(F125,".",""),",",""),";",""),":",""),"!",""),"?",""),"""",""),"'",""),"’",""),"“",""),"”",""))))</f>
        <v/>
      </c>
      <c r="Q125" s="46">
        <f>IF($A125="","",LOWER(TRIM(SUBSTITUTE(SUBSTITUTE(SUBSTITUTE(SUBSTITUTE(SUBSTITUTE(SUBSTITUTE(SUBSTITUTE(SUBSTITUTE(SUBSTITUTE(SUBSTITUTE(SUBSTITUTE(G125,".",""),",",""),";",""),":",""),"!",""),"?",""),"""",""),"'",""),"’",""),"“",""),"”",""))))</f>
        <v/>
      </c>
      <c r="R125" s="46">
        <f>IF($A125="","",LEN(O125))</f>
        <v/>
      </c>
      <c r="S125" s="46">
        <f>IF($A125="","",IF(O125="",0,LEN(O125)-LEN(SUBSTITUTE(O125," ",""))+1))</f>
        <v/>
      </c>
      <c r="T125" s="46">
        <f>IF($A125="","",IF(AND(O125&lt;&gt;"",OR(O125=M125,AND(N125&lt;&gt;"",ISNUMBER(FIND("|"&amp;O125&amp;"|","|"&amp;N125&amp;"|"))))),1,0))</f>
        <v/>
      </c>
      <c r="U125" s="46">
        <f>IF($A125="","",IF(AND(Q125&lt;&gt;"",OR(Q125=M125,AND(N125&lt;&gt;"",ISNUMBER(FIND("|"&amp;Q125&amp;"|","|"&amp;N125&amp;"|"))))),1,0))</f>
        <v/>
      </c>
      <c r="V125" s="46">
        <f>IF($A125="","",IF(P125=O125,1,0))</f>
        <v/>
      </c>
      <c r="W125" s="46">
        <f>IF($A125="","",IF(Q125=O125,1,0))</f>
        <v/>
      </c>
      <c r="X125" s="46">
        <f>IF(OR($A125="",$H125=""),"",IF(AND($H125=1,T125=1),"TA",IF(AND($H125=0,T125=1),"FA",IF($H125=1,"FR","TR"))))</f>
        <v/>
      </c>
      <c r="Y125" s="46">
        <f>IF(OR($A125="",$H125=""),"",IF(AND($H125=1,U125=1),"TA",IF(AND($H125=0,U125=1),"FA",IF($H125=1,"FR","TR"))))</f>
        <v/>
      </c>
    </row>
    <row r="126" ht="15" customHeight="1" s="28">
      <c r="A126" s="54" t="n"/>
      <c r="B126" s="54" t="n"/>
      <c r="C126" s="54" t="n"/>
      <c r="D126" s="54" t="n"/>
      <c r="E126" s="54" t="n"/>
      <c r="F126" s="54" t="n"/>
      <c r="G126" s="54" t="n"/>
      <c r="H126" s="54" t="n"/>
      <c r="I126" s="54" t="n"/>
      <c r="J126" s="54" t="n"/>
      <c r="K126" s="54" t="n"/>
      <c r="L126" s="54" t="n"/>
      <c r="M126" s="46">
        <f>IF($A126="","",LOWER(TRIM(SUBSTITUTE(SUBSTITUTE(SUBSTITUTE(SUBSTITUTE(SUBSTITUTE(SUBSTITUTE(SUBSTITUTE(SUBSTITUTE(SUBSTITUTE(SUBSTITUTE(SUBSTITUTE(C126,".",""),",",""),";",""),":",""),"!",""),"?",""),"""",""),"'",""),"’",""),"“",""),"”",""))))</f>
        <v/>
      </c>
      <c r="N126" s="46">
        <f>IF($A126="","",SUBSTITUTE(SUBSTITUTE(LOWER(TRIM(SUBSTITUTE(SUBSTITUTE(SUBSTITUTE(SUBSTITUTE(SUBSTITUTE(SUBSTITUTE(SUBSTITUTE(SUBSTITUTE(SUBSTITUTE(SUBSTITUTE(SUBSTITUTE(D126,".",""),",",""),";",""),":",""),"!",""),"?",""),"""",""),"'",""),"’",""),"“",""),"”","")))," |","|"),"| ","|"))</f>
        <v/>
      </c>
      <c r="O126" s="46">
        <f>IF($A126="","",LOWER(TRIM(SUBSTITUTE(SUBSTITUTE(SUBSTITUTE(SUBSTITUTE(SUBSTITUTE(SUBSTITUTE(SUBSTITUTE(SUBSTITUTE(SUBSTITUTE(SUBSTITUTE(SUBSTITUTE(E126,".",""),",",""),";",""),":",""),"!",""),"?",""),"""",""),"'",""),"’",""),"“",""),"”",""))))</f>
        <v/>
      </c>
      <c r="P126" s="46">
        <f>IF($A126="","",LOWER(TRIM(SUBSTITUTE(SUBSTITUTE(SUBSTITUTE(SUBSTITUTE(SUBSTITUTE(SUBSTITUTE(SUBSTITUTE(SUBSTITUTE(SUBSTITUTE(SUBSTITUTE(SUBSTITUTE(F126,".",""),",",""),";",""),":",""),"!",""),"?",""),"""",""),"'",""),"’",""),"“",""),"”",""))))</f>
        <v/>
      </c>
      <c r="Q126" s="46">
        <f>IF($A126="","",LOWER(TRIM(SUBSTITUTE(SUBSTITUTE(SUBSTITUTE(SUBSTITUTE(SUBSTITUTE(SUBSTITUTE(SUBSTITUTE(SUBSTITUTE(SUBSTITUTE(SUBSTITUTE(SUBSTITUTE(G126,".",""),",",""),";",""),":",""),"!",""),"?",""),"""",""),"'",""),"’",""),"“",""),"”",""))))</f>
        <v/>
      </c>
      <c r="R126" s="46">
        <f>IF($A126="","",LEN(O126))</f>
        <v/>
      </c>
      <c r="S126" s="46">
        <f>IF($A126="","",IF(O126="",0,LEN(O126)-LEN(SUBSTITUTE(O126," ",""))+1))</f>
        <v/>
      </c>
      <c r="T126" s="46">
        <f>IF($A126="","",IF(AND(O126&lt;&gt;"",OR(O126=M126,AND(N126&lt;&gt;"",ISNUMBER(FIND("|"&amp;O126&amp;"|","|"&amp;N126&amp;"|"))))),1,0))</f>
        <v/>
      </c>
      <c r="U126" s="46">
        <f>IF($A126="","",IF(AND(Q126&lt;&gt;"",OR(Q126=M126,AND(N126&lt;&gt;"",ISNUMBER(FIND("|"&amp;Q126&amp;"|","|"&amp;N126&amp;"|"))))),1,0))</f>
        <v/>
      </c>
      <c r="V126" s="46">
        <f>IF($A126="","",IF(P126=O126,1,0))</f>
        <v/>
      </c>
      <c r="W126" s="46">
        <f>IF($A126="","",IF(Q126=O126,1,0))</f>
        <v/>
      </c>
      <c r="X126" s="46">
        <f>IF(OR($A126="",$H126=""),"",IF(AND($H126=1,T126=1),"TA",IF(AND($H126=0,T126=1),"FA",IF($H126=1,"FR","TR"))))</f>
        <v/>
      </c>
      <c r="Y126" s="46">
        <f>IF(OR($A126="",$H126=""),"",IF(AND($H126=1,U126=1),"TA",IF(AND($H126=0,U126=1),"FA",IF($H126=1,"FR","TR"))))</f>
        <v/>
      </c>
    </row>
    <row r="127" ht="15" customHeight="1" s="28">
      <c r="A127" s="54" t="n"/>
      <c r="B127" s="54" t="n"/>
      <c r="C127" s="54" t="n"/>
      <c r="D127" s="54" t="n"/>
      <c r="E127" s="54" t="n"/>
      <c r="F127" s="54" t="n"/>
      <c r="G127" s="54" t="n"/>
      <c r="H127" s="54" t="n"/>
      <c r="I127" s="54" t="n"/>
      <c r="J127" s="54" t="n"/>
      <c r="K127" s="54" t="n"/>
      <c r="L127" s="54" t="n"/>
      <c r="M127" s="46">
        <f>IF($A127="","",LOWER(TRIM(SUBSTITUTE(SUBSTITUTE(SUBSTITUTE(SUBSTITUTE(SUBSTITUTE(SUBSTITUTE(SUBSTITUTE(SUBSTITUTE(SUBSTITUTE(SUBSTITUTE(SUBSTITUTE(C127,".",""),",",""),";",""),":",""),"!",""),"?",""),"""",""),"'",""),"’",""),"“",""),"”",""))))</f>
        <v/>
      </c>
      <c r="N127" s="46">
        <f>IF($A127="","",SUBSTITUTE(SUBSTITUTE(LOWER(TRIM(SUBSTITUTE(SUBSTITUTE(SUBSTITUTE(SUBSTITUTE(SUBSTITUTE(SUBSTITUTE(SUBSTITUTE(SUBSTITUTE(SUBSTITUTE(SUBSTITUTE(SUBSTITUTE(D127,".",""),",",""),";",""),":",""),"!",""),"?",""),"""",""),"'",""),"’",""),"“",""),"”","")))," |","|"),"| ","|"))</f>
        <v/>
      </c>
      <c r="O127" s="46">
        <f>IF($A127="","",LOWER(TRIM(SUBSTITUTE(SUBSTITUTE(SUBSTITUTE(SUBSTITUTE(SUBSTITUTE(SUBSTITUTE(SUBSTITUTE(SUBSTITUTE(SUBSTITUTE(SUBSTITUTE(SUBSTITUTE(E127,".",""),",",""),";",""),":",""),"!",""),"?",""),"""",""),"'",""),"’",""),"“",""),"”",""))))</f>
        <v/>
      </c>
      <c r="P127" s="46">
        <f>IF($A127="","",LOWER(TRIM(SUBSTITUTE(SUBSTITUTE(SUBSTITUTE(SUBSTITUTE(SUBSTITUTE(SUBSTITUTE(SUBSTITUTE(SUBSTITUTE(SUBSTITUTE(SUBSTITUTE(SUBSTITUTE(F127,".",""),",",""),";",""),":",""),"!",""),"?",""),"""",""),"'",""),"’",""),"“",""),"”",""))))</f>
        <v/>
      </c>
      <c r="Q127" s="46">
        <f>IF($A127="","",LOWER(TRIM(SUBSTITUTE(SUBSTITUTE(SUBSTITUTE(SUBSTITUTE(SUBSTITUTE(SUBSTITUTE(SUBSTITUTE(SUBSTITUTE(SUBSTITUTE(SUBSTITUTE(SUBSTITUTE(G127,".",""),",",""),";",""),":",""),"!",""),"?",""),"""",""),"'",""),"’",""),"“",""),"”",""))))</f>
        <v/>
      </c>
      <c r="R127" s="46">
        <f>IF($A127="","",LEN(O127))</f>
        <v/>
      </c>
      <c r="S127" s="46">
        <f>IF($A127="","",IF(O127="",0,LEN(O127)-LEN(SUBSTITUTE(O127," ",""))+1))</f>
        <v/>
      </c>
      <c r="T127" s="46">
        <f>IF($A127="","",IF(AND(O127&lt;&gt;"",OR(O127=M127,AND(N127&lt;&gt;"",ISNUMBER(FIND("|"&amp;O127&amp;"|","|"&amp;N127&amp;"|"))))),1,0))</f>
        <v/>
      </c>
      <c r="U127" s="46">
        <f>IF($A127="","",IF(AND(Q127&lt;&gt;"",OR(Q127=M127,AND(N127&lt;&gt;"",ISNUMBER(FIND("|"&amp;Q127&amp;"|","|"&amp;N127&amp;"|"))))),1,0))</f>
        <v/>
      </c>
      <c r="V127" s="46">
        <f>IF($A127="","",IF(P127=O127,1,0))</f>
        <v/>
      </c>
      <c r="W127" s="46">
        <f>IF($A127="","",IF(Q127=O127,1,0))</f>
        <v/>
      </c>
      <c r="X127" s="46">
        <f>IF(OR($A127="",$H127=""),"",IF(AND($H127=1,T127=1),"TA",IF(AND($H127=0,T127=1),"FA",IF($H127=1,"FR","TR"))))</f>
        <v/>
      </c>
      <c r="Y127" s="46">
        <f>IF(OR($A127="",$H127=""),"",IF(AND($H127=1,U127=1),"TA",IF(AND($H127=0,U127=1),"FA",IF($H127=1,"FR","TR"))))</f>
        <v/>
      </c>
    </row>
    <row r="128" ht="15" customHeight="1" s="28">
      <c r="A128" s="54" t="n"/>
      <c r="B128" s="54" t="n"/>
      <c r="C128" s="54" t="n"/>
      <c r="D128" s="54" t="n"/>
      <c r="E128" s="54" t="n"/>
      <c r="F128" s="54" t="n"/>
      <c r="G128" s="54" t="n"/>
      <c r="H128" s="54" t="n"/>
      <c r="I128" s="54" t="n"/>
      <c r="J128" s="54" t="n"/>
      <c r="K128" s="54" t="n"/>
      <c r="L128" s="54" t="n"/>
      <c r="M128" s="46">
        <f>IF($A128="","",LOWER(TRIM(SUBSTITUTE(SUBSTITUTE(SUBSTITUTE(SUBSTITUTE(SUBSTITUTE(SUBSTITUTE(SUBSTITUTE(SUBSTITUTE(SUBSTITUTE(SUBSTITUTE(SUBSTITUTE(C128,".",""),",",""),";",""),":",""),"!",""),"?",""),"""",""),"'",""),"’",""),"“",""),"”",""))))</f>
        <v/>
      </c>
      <c r="N128" s="46">
        <f>IF($A128="","",SUBSTITUTE(SUBSTITUTE(LOWER(TRIM(SUBSTITUTE(SUBSTITUTE(SUBSTITUTE(SUBSTITUTE(SUBSTITUTE(SUBSTITUTE(SUBSTITUTE(SUBSTITUTE(SUBSTITUTE(SUBSTITUTE(SUBSTITUTE(D128,".",""),",",""),";",""),":",""),"!",""),"?",""),"""",""),"'",""),"’",""),"“",""),"”","")))," |","|"),"| ","|"))</f>
        <v/>
      </c>
      <c r="O128" s="46">
        <f>IF($A128="","",LOWER(TRIM(SUBSTITUTE(SUBSTITUTE(SUBSTITUTE(SUBSTITUTE(SUBSTITUTE(SUBSTITUTE(SUBSTITUTE(SUBSTITUTE(SUBSTITUTE(SUBSTITUTE(SUBSTITUTE(E128,".",""),",",""),";",""),":",""),"!",""),"?",""),"""",""),"'",""),"’",""),"“",""),"”",""))))</f>
        <v/>
      </c>
      <c r="P128" s="46">
        <f>IF($A128="","",LOWER(TRIM(SUBSTITUTE(SUBSTITUTE(SUBSTITUTE(SUBSTITUTE(SUBSTITUTE(SUBSTITUTE(SUBSTITUTE(SUBSTITUTE(SUBSTITUTE(SUBSTITUTE(SUBSTITUTE(F128,".",""),",",""),";",""),":",""),"!",""),"?",""),"""",""),"'",""),"’",""),"“",""),"”",""))))</f>
        <v/>
      </c>
      <c r="Q128" s="46">
        <f>IF($A128="","",LOWER(TRIM(SUBSTITUTE(SUBSTITUTE(SUBSTITUTE(SUBSTITUTE(SUBSTITUTE(SUBSTITUTE(SUBSTITUTE(SUBSTITUTE(SUBSTITUTE(SUBSTITUTE(SUBSTITUTE(G128,".",""),",",""),";",""),":",""),"!",""),"?",""),"""",""),"'",""),"’",""),"“",""),"”",""))))</f>
        <v/>
      </c>
      <c r="R128" s="46">
        <f>IF($A128="","",LEN(O128))</f>
        <v/>
      </c>
      <c r="S128" s="46">
        <f>IF($A128="","",IF(O128="",0,LEN(O128)-LEN(SUBSTITUTE(O128," ",""))+1))</f>
        <v/>
      </c>
      <c r="T128" s="46">
        <f>IF($A128="","",IF(AND(O128&lt;&gt;"",OR(O128=M128,AND(N128&lt;&gt;"",ISNUMBER(FIND("|"&amp;O128&amp;"|","|"&amp;N128&amp;"|"))))),1,0))</f>
        <v/>
      </c>
      <c r="U128" s="46">
        <f>IF($A128="","",IF(AND(Q128&lt;&gt;"",OR(Q128=M128,AND(N128&lt;&gt;"",ISNUMBER(FIND("|"&amp;Q128&amp;"|","|"&amp;N128&amp;"|"))))),1,0))</f>
        <v/>
      </c>
      <c r="V128" s="46">
        <f>IF($A128="","",IF(P128=O128,1,0))</f>
        <v/>
      </c>
      <c r="W128" s="46">
        <f>IF($A128="","",IF(Q128=O128,1,0))</f>
        <v/>
      </c>
      <c r="X128" s="46">
        <f>IF(OR($A128="",$H128=""),"",IF(AND($H128=1,T128=1),"TA",IF(AND($H128=0,T128=1),"FA",IF($H128=1,"FR","TR"))))</f>
        <v/>
      </c>
      <c r="Y128" s="46">
        <f>IF(OR($A128="",$H128=""),"",IF(AND($H128=1,U128=1),"TA",IF(AND($H128=0,U128=1),"FA",IF($H128=1,"FR","TR"))))</f>
        <v/>
      </c>
    </row>
    <row r="129" ht="15" customHeight="1" s="28">
      <c r="A129" s="54" t="n"/>
      <c r="B129" s="54" t="n"/>
      <c r="C129" s="54" t="n"/>
      <c r="D129" s="54" t="n"/>
      <c r="E129" s="54" t="n"/>
      <c r="F129" s="54" t="n"/>
      <c r="G129" s="54" t="n"/>
      <c r="H129" s="54" t="n"/>
      <c r="I129" s="54" t="n"/>
      <c r="J129" s="54" t="n"/>
      <c r="K129" s="54" t="n"/>
      <c r="L129" s="54" t="n"/>
      <c r="M129" s="46">
        <f>IF($A129="","",LOWER(TRIM(SUBSTITUTE(SUBSTITUTE(SUBSTITUTE(SUBSTITUTE(SUBSTITUTE(SUBSTITUTE(SUBSTITUTE(SUBSTITUTE(SUBSTITUTE(SUBSTITUTE(SUBSTITUTE(C129,".",""),",",""),";",""),":",""),"!",""),"?",""),"""",""),"'",""),"’",""),"“",""),"”",""))))</f>
        <v/>
      </c>
      <c r="N129" s="46">
        <f>IF($A129="","",SUBSTITUTE(SUBSTITUTE(LOWER(TRIM(SUBSTITUTE(SUBSTITUTE(SUBSTITUTE(SUBSTITUTE(SUBSTITUTE(SUBSTITUTE(SUBSTITUTE(SUBSTITUTE(SUBSTITUTE(SUBSTITUTE(SUBSTITUTE(D129,".",""),",",""),";",""),":",""),"!",""),"?",""),"""",""),"'",""),"’",""),"“",""),"”","")))," |","|"),"| ","|"))</f>
        <v/>
      </c>
      <c r="O129" s="46">
        <f>IF($A129="","",LOWER(TRIM(SUBSTITUTE(SUBSTITUTE(SUBSTITUTE(SUBSTITUTE(SUBSTITUTE(SUBSTITUTE(SUBSTITUTE(SUBSTITUTE(SUBSTITUTE(SUBSTITUTE(SUBSTITUTE(E129,".",""),",",""),";",""),":",""),"!",""),"?",""),"""",""),"'",""),"’",""),"“",""),"”",""))))</f>
        <v/>
      </c>
      <c r="P129" s="46">
        <f>IF($A129="","",LOWER(TRIM(SUBSTITUTE(SUBSTITUTE(SUBSTITUTE(SUBSTITUTE(SUBSTITUTE(SUBSTITUTE(SUBSTITUTE(SUBSTITUTE(SUBSTITUTE(SUBSTITUTE(SUBSTITUTE(F129,".",""),",",""),";",""),":",""),"!",""),"?",""),"""",""),"'",""),"’",""),"“",""),"”",""))))</f>
        <v/>
      </c>
      <c r="Q129" s="46">
        <f>IF($A129="","",LOWER(TRIM(SUBSTITUTE(SUBSTITUTE(SUBSTITUTE(SUBSTITUTE(SUBSTITUTE(SUBSTITUTE(SUBSTITUTE(SUBSTITUTE(SUBSTITUTE(SUBSTITUTE(SUBSTITUTE(G129,".",""),",",""),";",""),":",""),"!",""),"?",""),"""",""),"'",""),"’",""),"“",""),"”",""))))</f>
        <v/>
      </c>
      <c r="R129" s="46">
        <f>IF($A129="","",LEN(O129))</f>
        <v/>
      </c>
      <c r="S129" s="46">
        <f>IF($A129="","",IF(O129="",0,LEN(O129)-LEN(SUBSTITUTE(O129," ",""))+1))</f>
        <v/>
      </c>
      <c r="T129" s="46">
        <f>IF($A129="","",IF(AND(O129&lt;&gt;"",OR(O129=M129,AND(N129&lt;&gt;"",ISNUMBER(FIND("|"&amp;O129&amp;"|","|"&amp;N129&amp;"|"))))),1,0))</f>
        <v/>
      </c>
      <c r="U129" s="46">
        <f>IF($A129="","",IF(AND(Q129&lt;&gt;"",OR(Q129=M129,AND(N129&lt;&gt;"",ISNUMBER(FIND("|"&amp;Q129&amp;"|","|"&amp;N129&amp;"|"))))),1,0))</f>
        <v/>
      </c>
      <c r="V129" s="46">
        <f>IF($A129="","",IF(P129=O129,1,0))</f>
        <v/>
      </c>
      <c r="W129" s="46">
        <f>IF($A129="","",IF(Q129=O129,1,0))</f>
        <v/>
      </c>
      <c r="X129" s="46">
        <f>IF(OR($A129="",$H129=""),"",IF(AND($H129=1,T129=1),"TA",IF(AND($H129=0,T129=1),"FA",IF($H129=1,"FR","TR"))))</f>
        <v/>
      </c>
      <c r="Y129" s="46">
        <f>IF(OR($A129="",$H129=""),"",IF(AND($H129=1,U129=1),"TA",IF(AND($H129=0,U129=1),"FA",IF($H129=1,"FR","TR"))))</f>
        <v/>
      </c>
    </row>
    <row r="130" ht="15" customHeight="1" s="28">
      <c r="A130" s="54" t="n"/>
      <c r="B130" s="54" t="n"/>
      <c r="C130" s="54" t="n"/>
      <c r="D130" s="54" t="n"/>
      <c r="E130" s="54" t="n"/>
      <c r="F130" s="54" t="n"/>
      <c r="G130" s="54" t="n"/>
      <c r="H130" s="54" t="n"/>
      <c r="I130" s="54" t="n"/>
      <c r="J130" s="54" t="n"/>
      <c r="K130" s="54" t="n"/>
      <c r="L130" s="54" t="n"/>
      <c r="M130" s="46">
        <f>IF($A130="","",LOWER(TRIM(SUBSTITUTE(SUBSTITUTE(SUBSTITUTE(SUBSTITUTE(SUBSTITUTE(SUBSTITUTE(SUBSTITUTE(SUBSTITUTE(SUBSTITUTE(SUBSTITUTE(SUBSTITUTE(C130,".",""),",",""),";",""),":",""),"!",""),"?",""),"""",""),"'",""),"’",""),"“",""),"”",""))))</f>
        <v/>
      </c>
      <c r="N130" s="46">
        <f>IF($A130="","",SUBSTITUTE(SUBSTITUTE(LOWER(TRIM(SUBSTITUTE(SUBSTITUTE(SUBSTITUTE(SUBSTITUTE(SUBSTITUTE(SUBSTITUTE(SUBSTITUTE(SUBSTITUTE(SUBSTITUTE(SUBSTITUTE(SUBSTITUTE(D130,".",""),",",""),";",""),":",""),"!",""),"?",""),"""",""),"'",""),"’",""),"“",""),"”","")))," |","|"),"| ","|"))</f>
        <v/>
      </c>
      <c r="O130" s="46">
        <f>IF($A130="","",LOWER(TRIM(SUBSTITUTE(SUBSTITUTE(SUBSTITUTE(SUBSTITUTE(SUBSTITUTE(SUBSTITUTE(SUBSTITUTE(SUBSTITUTE(SUBSTITUTE(SUBSTITUTE(SUBSTITUTE(E130,".",""),",",""),";",""),":",""),"!",""),"?",""),"""",""),"'",""),"’",""),"“",""),"”",""))))</f>
        <v/>
      </c>
      <c r="P130" s="46">
        <f>IF($A130="","",LOWER(TRIM(SUBSTITUTE(SUBSTITUTE(SUBSTITUTE(SUBSTITUTE(SUBSTITUTE(SUBSTITUTE(SUBSTITUTE(SUBSTITUTE(SUBSTITUTE(SUBSTITUTE(SUBSTITUTE(F130,".",""),",",""),";",""),":",""),"!",""),"?",""),"""",""),"'",""),"’",""),"“",""),"”",""))))</f>
        <v/>
      </c>
      <c r="Q130" s="46">
        <f>IF($A130="","",LOWER(TRIM(SUBSTITUTE(SUBSTITUTE(SUBSTITUTE(SUBSTITUTE(SUBSTITUTE(SUBSTITUTE(SUBSTITUTE(SUBSTITUTE(SUBSTITUTE(SUBSTITUTE(SUBSTITUTE(G130,".",""),",",""),";",""),":",""),"!",""),"?",""),"""",""),"'",""),"’",""),"“",""),"”",""))))</f>
        <v/>
      </c>
      <c r="R130" s="46">
        <f>IF($A130="","",LEN(O130))</f>
        <v/>
      </c>
      <c r="S130" s="46">
        <f>IF($A130="","",IF(O130="",0,LEN(O130)-LEN(SUBSTITUTE(O130," ",""))+1))</f>
        <v/>
      </c>
      <c r="T130" s="46">
        <f>IF($A130="","",IF(AND(O130&lt;&gt;"",OR(O130=M130,AND(N130&lt;&gt;"",ISNUMBER(FIND("|"&amp;O130&amp;"|","|"&amp;N130&amp;"|"))))),1,0))</f>
        <v/>
      </c>
      <c r="U130" s="46">
        <f>IF($A130="","",IF(AND(Q130&lt;&gt;"",OR(Q130=M130,AND(N130&lt;&gt;"",ISNUMBER(FIND("|"&amp;Q130&amp;"|","|"&amp;N130&amp;"|"))))),1,0))</f>
        <v/>
      </c>
      <c r="V130" s="46">
        <f>IF($A130="","",IF(P130=O130,1,0))</f>
        <v/>
      </c>
      <c r="W130" s="46">
        <f>IF($A130="","",IF(Q130=O130,1,0))</f>
        <v/>
      </c>
      <c r="X130" s="46">
        <f>IF(OR($A130="",$H130=""),"",IF(AND($H130=1,T130=1),"TA",IF(AND($H130=0,T130=1),"FA",IF($H130=1,"FR","TR"))))</f>
        <v/>
      </c>
      <c r="Y130" s="46">
        <f>IF(OR($A130="",$H130=""),"",IF(AND($H130=1,U130=1),"TA",IF(AND($H130=0,U130=1),"FA",IF($H130=1,"FR","TR"))))</f>
        <v/>
      </c>
    </row>
    <row r="131" ht="15" customHeight="1" s="28">
      <c r="A131" s="54" t="n"/>
      <c r="B131" s="54" t="n"/>
      <c r="C131" s="54" t="n"/>
      <c r="D131" s="54" t="n"/>
      <c r="E131" s="54" t="n"/>
      <c r="F131" s="54" t="n"/>
      <c r="G131" s="54" t="n"/>
      <c r="H131" s="54" t="n"/>
      <c r="I131" s="54" t="n"/>
      <c r="J131" s="54" t="n"/>
      <c r="K131" s="54" t="n"/>
      <c r="L131" s="54" t="n"/>
      <c r="M131" s="46">
        <f>IF($A131="","",LOWER(TRIM(SUBSTITUTE(SUBSTITUTE(SUBSTITUTE(SUBSTITUTE(SUBSTITUTE(SUBSTITUTE(SUBSTITUTE(SUBSTITUTE(SUBSTITUTE(SUBSTITUTE(SUBSTITUTE(C131,".",""),",",""),";",""),":",""),"!",""),"?",""),"""",""),"'",""),"’",""),"“",""),"”",""))))</f>
        <v/>
      </c>
      <c r="N131" s="46">
        <f>IF($A131="","",SUBSTITUTE(SUBSTITUTE(LOWER(TRIM(SUBSTITUTE(SUBSTITUTE(SUBSTITUTE(SUBSTITUTE(SUBSTITUTE(SUBSTITUTE(SUBSTITUTE(SUBSTITUTE(SUBSTITUTE(SUBSTITUTE(SUBSTITUTE(D131,".",""),",",""),";",""),":",""),"!",""),"?",""),"""",""),"'",""),"’",""),"“",""),"”","")))," |","|"),"| ","|"))</f>
        <v/>
      </c>
      <c r="O131" s="46">
        <f>IF($A131="","",LOWER(TRIM(SUBSTITUTE(SUBSTITUTE(SUBSTITUTE(SUBSTITUTE(SUBSTITUTE(SUBSTITUTE(SUBSTITUTE(SUBSTITUTE(SUBSTITUTE(SUBSTITUTE(SUBSTITUTE(E131,".",""),",",""),";",""),":",""),"!",""),"?",""),"""",""),"'",""),"’",""),"“",""),"”",""))))</f>
        <v/>
      </c>
      <c r="P131" s="46">
        <f>IF($A131="","",LOWER(TRIM(SUBSTITUTE(SUBSTITUTE(SUBSTITUTE(SUBSTITUTE(SUBSTITUTE(SUBSTITUTE(SUBSTITUTE(SUBSTITUTE(SUBSTITUTE(SUBSTITUTE(SUBSTITUTE(F131,".",""),",",""),";",""),":",""),"!",""),"?",""),"""",""),"'",""),"’",""),"“",""),"”",""))))</f>
        <v/>
      </c>
      <c r="Q131" s="46">
        <f>IF($A131="","",LOWER(TRIM(SUBSTITUTE(SUBSTITUTE(SUBSTITUTE(SUBSTITUTE(SUBSTITUTE(SUBSTITUTE(SUBSTITUTE(SUBSTITUTE(SUBSTITUTE(SUBSTITUTE(SUBSTITUTE(G131,".",""),",",""),";",""),":",""),"!",""),"?",""),"""",""),"'",""),"’",""),"“",""),"”",""))))</f>
        <v/>
      </c>
      <c r="R131" s="46">
        <f>IF($A131="","",LEN(O131))</f>
        <v/>
      </c>
      <c r="S131" s="46">
        <f>IF($A131="","",IF(O131="",0,LEN(O131)-LEN(SUBSTITUTE(O131," ",""))+1))</f>
        <v/>
      </c>
      <c r="T131" s="46">
        <f>IF($A131="","",IF(AND(O131&lt;&gt;"",OR(O131=M131,AND(N131&lt;&gt;"",ISNUMBER(FIND("|"&amp;O131&amp;"|","|"&amp;N131&amp;"|"))))),1,0))</f>
        <v/>
      </c>
      <c r="U131" s="46">
        <f>IF($A131="","",IF(AND(Q131&lt;&gt;"",OR(Q131=M131,AND(N131&lt;&gt;"",ISNUMBER(FIND("|"&amp;Q131&amp;"|","|"&amp;N131&amp;"|"))))),1,0))</f>
        <v/>
      </c>
      <c r="V131" s="46">
        <f>IF($A131="","",IF(P131=O131,1,0))</f>
        <v/>
      </c>
      <c r="W131" s="46">
        <f>IF($A131="","",IF(Q131=O131,1,0))</f>
        <v/>
      </c>
      <c r="X131" s="46">
        <f>IF(OR($A131="",$H131=""),"",IF(AND($H131=1,T131=1),"TA",IF(AND($H131=0,T131=1),"FA",IF($H131=1,"FR","TR"))))</f>
        <v/>
      </c>
      <c r="Y131" s="46">
        <f>IF(OR($A131="",$H131=""),"",IF(AND($H131=1,U131=1),"TA",IF(AND($H131=0,U131=1),"FA",IF($H131=1,"FR","TR"))))</f>
        <v/>
      </c>
    </row>
    <row r="132" ht="15" customHeight="1" s="28">
      <c r="A132" s="54" t="n"/>
      <c r="B132" s="54" t="n"/>
      <c r="C132" s="54" t="n"/>
      <c r="D132" s="54" t="n"/>
      <c r="E132" s="54" t="n"/>
      <c r="F132" s="54" t="n"/>
      <c r="G132" s="54" t="n"/>
      <c r="H132" s="54" t="n"/>
      <c r="I132" s="54" t="n"/>
      <c r="J132" s="54" t="n"/>
      <c r="K132" s="54" t="n"/>
      <c r="L132" s="54" t="n"/>
      <c r="M132" s="46">
        <f>IF($A132="","",LOWER(TRIM(SUBSTITUTE(SUBSTITUTE(SUBSTITUTE(SUBSTITUTE(SUBSTITUTE(SUBSTITUTE(SUBSTITUTE(SUBSTITUTE(SUBSTITUTE(SUBSTITUTE(SUBSTITUTE(C132,".",""),",",""),";",""),":",""),"!",""),"?",""),"""",""),"'",""),"’",""),"“",""),"”",""))))</f>
        <v/>
      </c>
      <c r="N132" s="46">
        <f>IF($A132="","",SUBSTITUTE(SUBSTITUTE(LOWER(TRIM(SUBSTITUTE(SUBSTITUTE(SUBSTITUTE(SUBSTITUTE(SUBSTITUTE(SUBSTITUTE(SUBSTITUTE(SUBSTITUTE(SUBSTITUTE(SUBSTITUTE(SUBSTITUTE(D132,".",""),",",""),";",""),":",""),"!",""),"?",""),"""",""),"'",""),"’",""),"“",""),"”","")))," |","|"),"| ","|"))</f>
        <v/>
      </c>
      <c r="O132" s="46">
        <f>IF($A132="","",LOWER(TRIM(SUBSTITUTE(SUBSTITUTE(SUBSTITUTE(SUBSTITUTE(SUBSTITUTE(SUBSTITUTE(SUBSTITUTE(SUBSTITUTE(SUBSTITUTE(SUBSTITUTE(SUBSTITUTE(E132,".",""),",",""),";",""),":",""),"!",""),"?",""),"""",""),"'",""),"’",""),"“",""),"”",""))))</f>
        <v/>
      </c>
      <c r="P132" s="46">
        <f>IF($A132="","",LOWER(TRIM(SUBSTITUTE(SUBSTITUTE(SUBSTITUTE(SUBSTITUTE(SUBSTITUTE(SUBSTITUTE(SUBSTITUTE(SUBSTITUTE(SUBSTITUTE(SUBSTITUTE(SUBSTITUTE(F132,".",""),",",""),";",""),":",""),"!",""),"?",""),"""",""),"'",""),"’",""),"“",""),"”",""))))</f>
        <v/>
      </c>
      <c r="Q132" s="46">
        <f>IF($A132="","",LOWER(TRIM(SUBSTITUTE(SUBSTITUTE(SUBSTITUTE(SUBSTITUTE(SUBSTITUTE(SUBSTITUTE(SUBSTITUTE(SUBSTITUTE(SUBSTITUTE(SUBSTITUTE(SUBSTITUTE(G132,".",""),",",""),";",""),":",""),"!",""),"?",""),"""",""),"'",""),"’",""),"“",""),"”",""))))</f>
        <v/>
      </c>
      <c r="R132" s="46">
        <f>IF($A132="","",LEN(O132))</f>
        <v/>
      </c>
      <c r="S132" s="46">
        <f>IF($A132="","",IF(O132="",0,LEN(O132)-LEN(SUBSTITUTE(O132," ",""))+1))</f>
        <v/>
      </c>
      <c r="T132" s="46">
        <f>IF($A132="","",IF(AND(O132&lt;&gt;"",OR(O132=M132,AND(N132&lt;&gt;"",ISNUMBER(FIND("|"&amp;O132&amp;"|","|"&amp;N132&amp;"|"))))),1,0))</f>
        <v/>
      </c>
      <c r="U132" s="46">
        <f>IF($A132="","",IF(AND(Q132&lt;&gt;"",OR(Q132=M132,AND(N132&lt;&gt;"",ISNUMBER(FIND("|"&amp;Q132&amp;"|","|"&amp;N132&amp;"|"))))),1,0))</f>
        <v/>
      </c>
      <c r="V132" s="46">
        <f>IF($A132="","",IF(P132=O132,1,0))</f>
        <v/>
      </c>
      <c r="W132" s="46">
        <f>IF($A132="","",IF(Q132=O132,1,0))</f>
        <v/>
      </c>
      <c r="X132" s="46">
        <f>IF(OR($A132="",$H132=""),"",IF(AND($H132=1,T132=1),"TA",IF(AND($H132=0,T132=1),"FA",IF($H132=1,"FR","TR"))))</f>
        <v/>
      </c>
      <c r="Y132" s="46">
        <f>IF(OR($A132="",$H132=""),"",IF(AND($H132=1,U132=1),"TA",IF(AND($H132=0,U132=1),"FA",IF($H132=1,"FR","TR"))))</f>
        <v/>
      </c>
    </row>
    <row r="133" ht="15" customHeight="1" s="28">
      <c r="A133" s="54" t="n"/>
      <c r="B133" s="54" t="n"/>
      <c r="C133" s="54" t="n"/>
      <c r="D133" s="54" t="n"/>
      <c r="E133" s="54" t="n"/>
      <c r="F133" s="54" t="n"/>
      <c r="G133" s="54" t="n"/>
      <c r="H133" s="54" t="n"/>
      <c r="I133" s="54" t="n"/>
      <c r="J133" s="54" t="n"/>
      <c r="K133" s="54" t="n"/>
      <c r="L133" s="54" t="n"/>
      <c r="M133" s="46">
        <f>IF($A133="","",LOWER(TRIM(SUBSTITUTE(SUBSTITUTE(SUBSTITUTE(SUBSTITUTE(SUBSTITUTE(SUBSTITUTE(SUBSTITUTE(SUBSTITUTE(SUBSTITUTE(SUBSTITUTE(SUBSTITUTE(C133,".",""),",",""),";",""),":",""),"!",""),"?",""),"""",""),"'",""),"’",""),"“",""),"”",""))))</f>
        <v/>
      </c>
      <c r="N133" s="46">
        <f>IF($A133="","",SUBSTITUTE(SUBSTITUTE(LOWER(TRIM(SUBSTITUTE(SUBSTITUTE(SUBSTITUTE(SUBSTITUTE(SUBSTITUTE(SUBSTITUTE(SUBSTITUTE(SUBSTITUTE(SUBSTITUTE(SUBSTITUTE(SUBSTITUTE(D133,".",""),",",""),";",""),":",""),"!",""),"?",""),"""",""),"'",""),"’",""),"“",""),"”","")))," |","|"),"| ","|"))</f>
        <v/>
      </c>
      <c r="O133" s="46">
        <f>IF($A133="","",LOWER(TRIM(SUBSTITUTE(SUBSTITUTE(SUBSTITUTE(SUBSTITUTE(SUBSTITUTE(SUBSTITUTE(SUBSTITUTE(SUBSTITUTE(SUBSTITUTE(SUBSTITUTE(SUBSTITUTE(E133,".",""),",",""),";",""),":",""),"!",""),"?",""),"""",""),"'",""),"’",""),"“",""),"”",""))))</f>
        <v/>
      </c>
      <c r="P133" s="46">
        <f>IF($A133="","",LOWER(TRIM(SUBSTITUTE(SUBSTITUTE(SUBSTITUTE(SUBSTITUTE(SUBSTITUTE(SUBSTITUTE(SUBSTITUTE(SUBSTITUTE(SUBSTITUTE(SUBSTITUTE(SUBSTITUTE(F133,".",""),",",""),";",""),":",""),"!",""),"?",""),"""",""),"'",""),"’",""),"“",""),"”",""))))</f>
        <v/>
      </c>
      <c r="Q133" s="46">
        <f>IF($A133="","",LOWER(TRIM(SUBSTITUTE(SUBSTITUTE(SUBSTITUTE(SUBSTITUTE(SUBSTITUTE(SUBSTITUTE(SUBSTITUTE(SUBSTITUTE(SUBSTITUTE(SUBSTITUTE(SUBSTITUTE(G133,".",""),",",""),";",""),":",""),"!",""),"?",""),"""",""),"'",""),"’",""),"“",""),"”",""))))</f>
        <v/>
      </c>
      <c r="R133" s="46">
        <f>IF($A133="","",LEN(O133))</f>
        <v/>
      </c>
      <c r="S133" s="46">
        <f>IF($A133="","",IF(O133="",0,LEN(O133)-LEN(SUBSTITUTE(O133," ",""))+1))</f>
        <v/>
      </c>
      <c r="T133" s="46">
        <f>IF($A133="","",IF(AND(O133&lt;&gt;"",OR(O133=M133,AND(N133&lt;&gt;"",ISNUMBER(FIND("|"&amp;O133&amp;"|","|"&amp;N133&amp;"|"))))),1,0))</f>
        <v/>
      </c>
      <c r="U133" s="46">
        <f>IF($A133="","",IF(AND(Q133&lt;&gt;"",OR(Q133=M133,AND(N133&lt;&gt;"",ISNUMBER(FIND("|"&amp;Q133&amp;"|","|"&amp;N133&amp;"|"))))),1,0))</f>
        <v/>
      </c>
      <c r="V133" s="46">
        <f>IF($A133="","",IF(P133=O133,1,0))</f>
        <v/>
      </c>
      <c r="W133" s="46">
        <f>IF($A133="","",IF(Q133=O133,1,0))</f>
        <v/>
      </c>
      <c r="X133" s="46">
        <f>IF(OR($A133="",$H133=""),"",IF(AND($H133=1,T133=1),"TA",IF(AND($H133=0,T133=1),"FA",IF($H133=1,"FR","TR"))))</f>
        <v/>
      </c>
      <c r="Y133" s="46">
        <f>IF(OR($A133="",$H133=""),"",IF(AND($H133=1,U133=1),"TA",IF(AND($H133=0,U133=1),"FA",IF($H133=1,"FR","TR"))))</f>
        <v/>
      </c>
    </row>
    <row r="134" ht="15" customHeight="1" s="28">
      <c r="A134" s="54" t="n"/>
      <c r="B134" s="54" t="n"/>
      <c r="C134" s="54" t="n"/>
      <c r="D134" s="54" t="n"/>
      <c r="E134" s="54" t="n"/>
      <c r="F134" s="54" t="n"/>
      <c r="G134" s="54" t="n"/>
      <c r="H134" s="54" t="n"/>
      <c r="I134" s="54" t="n"/>
      <c r="J134" s="54" t="n"/>
      <c r="K134" s="54" t="n"/>
      <c r="L134" s="54" t="n"/>
      <c r="M134" s="46">
        <f>IF($A134="","",LOWER(TRIM(SUBSTITUTE(SUBSTITUTE(SUBSTITUTE(SUBSTITUTE(SUBSTITUTE(SUBSTITUTE(SUBSTITUTE(SUBSTITUTE(SUBSTITUTE(SUBSTITUTE(SUBSTITUTE(C134,".",""),",",""),";",""),":",""),"!",""),"?",""),"""",""),"'",""),"’",""),"“",""),"”",""))))</f>
        <v/>
      </c>
      <c r="N134" s="46">
        <f>IF($A134="","",SUBSTITUTE(SUBSTITUTE(LOWER(TRIM(SUBSTITUTE(SUBSTITUTE(SUBSTITUTE(SUBSTITUTE(SUBSTITUTE(SUBSTITUTE(SUBSTITUTE(SUBSTITUTE(SUBSTITUTE(SUBSTITUTE(SUBSTITUTE(D134,".",""),",",""),";",""),":",""),"!",""),"?",""),"""",""),"'",""),"’",""),"“",""),"”","")))," |","|"),"| ","|"))</f>
        <v/>
      </c>
      <c r="O134" s="46">
        <f>IF($A134="","",LOWER(TRIM(SUBSTITUTE(SUBSTITUTE(SUBSTITUTE(SUBSTITUTE(SUBSTITUTE(SUBSTITUTE(SUBSTITUTE(SUBSTITUTE(SUBSTITUTE(SUBSTITUTE(SUBSTITUTE(E134,".",""),",",""),";",""),":",""),"!",""),"?",""),"""",""),"'",""),"’",""),"“",""),"”",""))))</f>
        <v/>
      </c>
      <c r="P134" s="46">
        <f>IF($A134="","",LOWER(TRIM(SUBSTITUTE(SUBSTITUTE(SUBSTITUTE(SUBSTITUTE(SUBSTITUTE(SUBSTITUTE(SUBSTITUTE(SUBSTITUTE(SUBSTITUTE(SUBSTITUTE(SUBSTITUTE(F134,".",""),",",""),";",""),":",""),"!",""),"?",""),"""",""),"'",""),"’",""),"“",""),"”",""))))</f>
        <v/>
      </c>
      <c r="Q134" s="46">
        <f>IF($A134="","",LOWER(TRIM(SUBSTITUTE(SUBSTITUTE(SUBSTITUTE(SUBSTITUTE(SUBSTITUTE(SUBSTITUTE(SUBSTITUTE(SUBSTITUTE(SUBSTITUTE(SUBSTITUTE(SUBSTITUTE(G134,".",""),",",""),";",""),":",""),"!",""),"?",""),"""",""),"'",""),"’",""),"“",""),"”",""))))</f>
        <v/>
      </c>
      <c r="R134" s="46">
        <f>IF($A134="","",LEN(O134))</f>
        <v/>
      </c>
      <c r="S134" s="46">
        <f>IF($A134="","",IF(O134="",0,LEN(O134)-LEN(SUBSTITUTE(O134," ",""))+1))</f>
        <v/>
      </c>
      <c r="T134" s="46">
        <f>IF($A134="","",IF(AND(O134&lt;&gt;"",OR(O134=M134,AND(N134&lt;&gt;"",ISNUMBER(FIND("|"&amp;O134&amp;"|","|"&amp;N134&amp;"|"))))),1,0))</f>
        <v/>
      </c>
      <c r="U134" s="46">
        <f>IF($A134="","",IF(AND(Q134&lt;&gt;"",OR(Q134=M134,AND(N134&lt;&gt;"",ISNUMBER(FIND("|"&amp;Q134&amp;"|","|"&amp;N134&amp;"|"))))),1,0))</f>
        <v/>
      </c>
      <c r="V134" s="46">
        <f>IF($A134="","",IF(P134=O134,1,0))</f>
        <v/>
      </c>
      <c r="W134" s="46">
        <f>IF($A134="","",IF(Q134=O134,1,0))</f>
        <v/>
      </c>
      <c r="X134" s="46">
        <f>IF(OR($A134="",$H134=""),"",IF(AND($H134=1,T134=1),"TA",IF(AND($H134=0,T134=1),"FA",IF($H134=1,"FR","TR"))))</f>
        <v/>
      </c>
      <c r="Y134" s="46">
        <f>IF(OR($A134="",$H134=""),"",IF(AND($H134=1,U134=1),"TA",IF(AND($H134=0,U134=1),"FA",IF($H134=1,"FR","TR"))))</f>
        <v/>
      </c>
    </row>
    <row r="135" ht="15" customHeight="1" s="28">
      <c r="A135" s="54" t="n"/>
      <c r="B135" s="54" t="n"/>
      <c r="C135" s="54" t="n"/>
      <c r="D135" s="54" t="n"/>
      <c r="E135" s="54" t="n"/>
      <c r="F135" s="54" t="n"/>
      <c r="G135" s="54" t="n"/>
      <c r="H135" s="54" t="n"/>
      <c r="I135" s="54" t="n"/>
      <c r="J135" s="54" t="n"/>
      <c r="K135" s="54" t="n"/>
      <c r="L135" s="54" t="n"/>
      <c r="M135" s="46">
        <f>IF($A135="","",LOWER(TRIM(SUBSTITUTE(SUBSTITUTE(SUBSTITUTE(SUBSTITUTE(SUBSTITUTE(SUBSTITUTE(SUBSTITUTE(SUBSTITUTE(SUBSTITUTE(SUBSTITUTE(SUBSTITUTE(C135,".",""),",",""),";",""),":",""),"!",""),"?",""),"""",""),"'",""),"’",""),"“",""),"”",""))))</f>
        <v/>
      </c>
      <c r="N135" s="46">
        <f>IF($A135="","",SUBSTITUTE(SUBSTITUTE(LOWER(TRIM(SUBSTITUTE(SUBSTITUTE(SUBSTITUTE(SUBSTITUTE(SUBSTITUTE(SUBSTITUTE(SUBSTITUTE(SUBSTITUTE(SUBSTITUTE(SUBSTITUTE(SUBSTITUTE(D135,".",""),",",""),";",""),":",""),"!",""),"?",""),"""",""),"'",""),"’",""),"“",""),"”","")))," |","|"),"| ","|"))</f>
        <v/>
      </c>
      <c r="O135" s="46">
        <f>IF($A135="","",LOWER(TRIM(SUBSTITUTE(SUBSTITUTE(SUBSTITUTE(SUBSTITUTE(SUBSTITUTE(SUBSTITUTE(SUBSTITUTE(SUBSTITUTE(SUBSTITUTE(SUBSTITUTE(SUBSTITUTE(E135,".",""),",",""),";",""),":",""),"!",""),"?",""),"""",""),"'",""),"’",""),"“",""),"”",""))))</f>
        <v/>
      </c>
      <c r="P135" s="46">
        <f>IF($A135="","",LOWER(TRIM(SUBSTITUTE(SUBSTITUTE(SUBSTITUTE(SUBSTITUTE(SUBSTITUTE(SUBSTITUTE(SUBSTITUTE(SUBSTITUTE(SUBSTITUTE(SUBSTITUTE(SUBSTITUTE(F135,".",""),",",""),";",""),":",""),"!",""),"?",""),"""",""),"'",""),"’",""),"“",""),"”",""))))</f>
        <v/>
      </c>
      <c r="Q135" s="46">
        <f>IF($A135="","",LOWER(TRIM(SUBSTITUTE(SUBSTITUTE(SUBSTITUTE(SUBSTITUTE(SUBSTITUTE(SUBSTITUTE(SUBSTITUTE(SUBSTITUTE(SUBSTITUTE(SUBSTITUTE(SUBSTITUTE(G135,".",""),",",""),";",""),":",""),"!",""),"?",""),"""",""),"'",""),"’",""),"“",""),"”",""))))</f>
        <v/>
      </c>
      <c r="R135" s="46">
        <f>IF($A135="","",LEN(O135))</f>
        <v/>
      </c>
      <c r="S135" s="46">
        <f>IF($A135="","",IF(O135="",0,LEN(O135)-LEN(SUBSTITUTE(O135," ",""))+1))</f>
        <v/>
      </c>
      <c r="T135" s="46">
        <f>IF($A135="","",IF(AND(O135&lt;&gt;"",OR(O135=M135,AND(N135&lt;&gt;"",ISNUMBER(FIND("|"&amp;O135&amp;"|","|"&amp;N135&amp;"|"))))),1,0))</f>
        <v/>
      </c>
      <c r="U135" s="46">
        <f>IF($A135="","",IF(AND(Q135&lt;&gt;"",OR(Q135=M135,AND(N135&lt;&gt;"",ISNUMBER(FIND("|"&amp;Q135&amp;"|","|"&amp;N135&amp;"|"))))),1,0))</f>
        <v/>
      </c>
      <c r="V135" s="46">
        <f>IF($A135="","",IF(P135=O135,1,0))</f>
        <v/>
      </c>
      <c r="W135" s="46">
        <f>IF($A135="","",IF(Q135=O135,1,0))</f>
        <v/>
      </c>
      <c r="X135" s="46">
        <f>IF(OR($A135="",$H135=""),"",IF(AND($H135=1,T135=1),"TA",IF(AND($H135=0,T135=1),"FA",IF($H135=1,"FR","TR"))))</f>
        <v/>
      </c>
      <c r="Y135" s="46">
        <f>IF(OR($A135="",$H135=""),"",IF(AND($H135=1,U135=1),"TA",IF(AND($H135=0,U135=1),"FA",IF($H135=1,"FR","TR"))))</f>
        <v/>
      </c>
    </row>
    <row r="136" ht="15" customHeight="1" s="28">
      <c r="A136" s="54" t="n"/>
      <c r="B136" s="54" t="n"/>
      <c r="C136" s="54" t="n"/>
      <c r="D136" s="54" t="n"/>
      <c r="E136" s="54" t="n"/>
      <c r="F136" s="54" t="n"/>
      <c r="G136" s="54" t="n"/>
      <c r="H136" s="54" t="n"/>
      <c r="I136" s="54" t="n"/>
      <c r="J136" s="54" t="n"/>
      <c r="K136" s="54" t="n"/>
      <c r="L136" s="54" t="n"/>
      <c r="M136" s="46">
        <f>IF($A136="","",LOWER(TRIM(SUBSTITUTE(SUBSTITUTE(SUBSTITUTE(SUBSTITUTE(SUBSTITUTE(SUBSTITUTE(SUBSTITUTE(SUBSTITUTE(SUBSTITUTE(SUBSTITUTE(SUBSTITUTE(C136,".",""),",",""),";",""),":",""),"!",""),"?",""),"""",""),"'",""),"’",""),"“",""),"”",""))))</f>
        <v/>
      </c>
      <c r="N136" s="46">
        <f>IF($A136="","",SUBSTITUTE(SUBSTITUTE(LOWER(TRIM(SUBSTITUTE(SUBSTITUTE(SUBSTITUTE(SUBSTITUTE(SUBSTITUTE(SUBSTITUTE(SUBSTITUTE(SUBSTITUTE(SUBSTITUTE(SUBSTITUTE(SUBSTITUTE(D136,".",""),",",""),";",""),":",""),"!",""),"?",""),"""",""),"'",""),"’",""),"“",""),"”","")))," |","|"),"| ","|"))</f>
        <v/>
      </c>
      <c r="O136" s="46">
        <f>IF($A136="","",LOWER(TRIM(SUBSTITUTE(SUBSTITUTE(SUBSTITUTE(SUBSTITUTE(SUBSTITUTE(SUBSTITUTE(SUBSTITUTE(SUBSTITUTE(SUBSTITUTE(SUBSTITUTE(SUBSTITUTE(E136,".",""),",",""),";",""),":",""),"!",""),"?",""),"""",""),"'",""),"’",""),"“",""),"”",""))))</f>
        <v/>
      </c>
      <c r="P136" s="46">
        <f>IF($A136="","",LOWER(TRIM(SUBSTITUTE(SUBSTITUTE(SUBSTITUTE(SUBSTITUTE(SUBSTITUTE(SUBSTITUTE(SUBSTITUTE(SUBSTITUTE(SUBSTITUTE(SUBSTITUTE(SUBSTITUTE(F136,".",""),",",""),";",""),":",""),"!",""),"?",""),"""",""),"'",""),"’",""),"“",""),"”",""))))</f>
        <v/>
      </c>
      <c r="Q136" s="46">
        <f>IF($A136="","",LOWER(TRIM(SUBSTITUTE(SUBSTITUTE(SUBSTITUTE(SUBSTITUTE(SUBSTITUTE(SUBSTITUTE(SUBSTITUTE(SUBSTITUTE(SUBSTITUTE(SUBSTITUTE(SUBSTITUTE(G136,".",""),",",""),";",""),":",""),"!",""),"?",""),"""",""),"'",""),"’",""),"“",""),"”",""))))</f>
        <v/>
      </c>
      <c r="R136" s="46">
        <f>IF($A136="","",LEN(O136))</f>
        <v/>
      </c>
      <c r="S136" s="46">
        <f>IF($A136="","",IF(O136="",0,LEN(O136)-LEN(SUBSTITUTE(O136," ",""))+1))</f>
        <v/>
      </c>
      <c r="T136" s="46">
        <f>IF($A136="","",IF(AND(O136&lt;&gt;"",OR(O136=M136,AND(N136&lt;&gt;"",ISNUMBER(FIND("|"&amp;O136&amp;"|","|"&amp;N136&amp;"|"))))),1,0))</f>
        <v/>
      </c>
      <c r="U136" s="46">
        <f>IF($A136="","",IF(AND(Q136&lt;&gt;"",OR(Q136=M136,AND(N136&lt;&gt;"",ISNUMBER(FIND("|"&amp;Q136&amp;"|","|"&amp;N136&amp;"|"))))),1,0))</f>
        <v/>
      </c>
      <c r="V136" s="46">
        <f>IF($A136="","",IF(P136=O136,1,0))</f>
        <v/>
      </c>
      <c r="W136" s="46">
        <f>IF($A136="","",IF(Q136=O136,1,0))</f>
        <v/>
      </c>
      <c r="X136" s="46">
        <f>IF(OR($A136="",$H136=""),"",IF(AND($H136=1,T136=1),"TA",IF(AND($H136=0,T136=1),"FA",IF($H136=1,"FR","TR"))))</f>
        <v/>
      </c>
      <c r="Y136" s="46">
        <f>IF(OR($A136="",$H136=""),"",IF(AND($H136=1,U136=1),"TA",IF(AND($H136=0,U136=1),"FA",IF($H136=1,"FR","TR"))))</f>
        <v/>
      </c>
    </row>
    <row r="137" ht="15" customHeight="1" s="28">
      <c r="A137" s="54" t="n"/>
      <c r="B137" s="54" t="n"/>
      <c r="C137" s="54" t="n"/>
      <c r="D137" s="54" t="n"/>
      <c r="E137" s="54" t="n"/>
      <c r="F137" s="54" t="n"/>
      <c r="G137" s="54" t="n"/>
      <c r="H137" s="54" t="n"/>
      <c r="I137" s="54" t="n"/>
      <c r="J137" s="54" t="n"/>
      <c r="K137" s="54" t="n"/>
      <c r="L137" s="54" t="n"/>
      <c r="M137" s="46">
        <f>IF($A137="","",LOWER(TRIM(SUBSTITUTE(SUBSTITUTE(SUBSTITUTE(SUBSTITUTE(SUBSTITUTE(SUBSTITUTE(SUBSTITUTE(SUBSTITUTE(SUBSTITUTE(SUBSTITUTE(SUBSTITUTE(C137,".",""),",",""),";",""),":",""),"!",""),"?",""),"""",""),"'",""),"’",""),"“",""),"”",""))))</f>
        <v/>
      </c>
      <c r="N137" s="46">
        <f>IF($A137="","",SUBSTITUTE(SUBSTITUTE(LOWER(TRIM(SUBSTITUTE(SUBSTITUTE(SUBSTITUTE(SUBSTITUTE(SUBSTITUTE(SUBSTITUTE(SUBSTITUTE(SUBSTITUTE(SUBSTITUTE(SUBSTITUTE(SUBSTITUTE(D137,".",""),",",""),";",""),":",""),"!",""),"?",""),"""",""),"'",""),"’",""),"“",""),"”","")))," |","|"),"| ","|"))</f>
        <v/>
      </c>
      <c r="O137" s="46">
        <f>IF($A137="","",LOWER(TRIM(SUBSTITUTE(SUBSTITUTE(SUBSTITUTE(SUBSTITUTE(SUBSTITUTE(SUBSTITUTE(SUBSTITUTE(SUBSTITUTE(SUBSTITUTE(SUBSTITUTE(SUBSTITUTE(E137,".",""),",",""),";",""),":",""),"!",""),"?",""),"""",""),"'",""),"’",""),"“",""),"”",""))))</f>
        <v/>
      </c>
      <c r="P137" s="46">
        <f>IF($A137="","",LOWER(TRIM(SUBSTITUTE(SUBSTITUTE(SUBSTITUTE(SUBSTITUTE(SUBSTITUTE(SUBSTITUTE(SUBSTITUTE(SUBSTITUTE(SUBSTITUTE(SUBSTITUTE(SUBSTITUTE(F137,".",""),",",""),";",""),":",""),"!",""),"?",""),"""",""),"'",""),"’",""),"“",""),"”",""))))</f>
        <v/>
      </c>
      <c r="Q137" s="46">
        <f>IF($A137="","",LOWER(TRIM(SUBSTITUTE(SUBSTITUTE(SUBSTITUTE(SUBSTITUTE(SUBSTITUTE(SUBSTITUTE(SUBSTITUTE(SUBSTITUTE(SUBSTITUTE(SUBSTITUTE(SUBSTITUTE(G137,".",""),",",""),";",""),":",""),"!",""),"?",""),"""",""),"'",""),"’",""),"“",""),"”",""))))</f>
        <v/>
      </c>
      <c r="R137" s="46">
        <f>IF($A137="","",LEN(O137))</f>
        <v/>
      </c>
      <c r="S137" s="46">
        <f>IF($A137="","",IF(O137="",0,LEN(O137)-LEN(SUBSTITUTE(O137," ",""))+1))</f>
        <v/>
      </c>
      <c r="T137" s="46">
        <f>IF($A137="","",IF(AND(O137&lt;&gt;"",OR(O137=M137,AND(N137&lt;&gt;"",ISNUMBER(FIND("|"&amp;O137&amp;"|","|"&amp;N137&amp;"|"))))),1,0))</f>
        <v/>
      </c>
      <c r="U137" s="46">
        <f>IF($A137="","",IF(AND(Q137&lt;&gt;"",OR(Q137=M137,AND(N137&lt;&gt;"",ISNUMBER(FIND("|"&amp;Q137&amp;"|","|"&amp;N137&amp;"|"))))),1,0))</f>
        <v/>
      </c>
      <c r="V137" s="46">
        <f>IF($A137="","",IF(P137=O137,1,0))</f>
        <v/>
      </c>
      <c r="W137" s="46">
        <f>IF($A137="","",IF(Q137=O137,1,0))</f>
        <v/>
      </c>
      <c r="X137" s="46">
        <f>IF(OR($A137="",$H137=""),"",IF(AND($H137=1,T137=1),"TA",IF(AND($H137=0,T137=1),"FA",IF($H137=1,"FR","TR"))))</f>
        <v/>
      </c>
      <c r="Y137" s="46">
        <f>IF(OR($A137="",$H137=""),"",IF(AND($H137=1,U137=1),"TA",IF(AND($H137=0,U137=1),"FA",IF($H137=1,"FR","TR"))))</f>
        <v/>
      </c>
    </row>
    <row r="138" ht="15" customHeight="1" s="28">
      <c r="A138" s="54" t="n"/>
      <c r="B138" s="54" t="n"/>
      <c r="C138" s="54" t="n"/>
      <c r="D138" s="54" t="n"/>
      <c r="E138" s="54" t="n"/>
      <c r="F138" s="54" t="n"/>
      <c r="G138" s="54" t="n"/>
      <c r="H138" s="54" t="n"/>
      <c r="I138" s="54" t="n"/>
      <c r="J138" s="54" t="n"/>
      <c r="K138" s="54" t="n"/>
      <c r="L138" s="54" t="n"/>
      <c r="M138" s="46">
        <f>IF($A138="","",LOWER(TRIM(SUBSTITUTE(SUBSTITUTE(SUBSTITUTE(SUBSTITUTE(SUBSTITUTE(SUBSTITUTE(SUBSTITUTE(SUBSTITUTE(SUBSTITUTE(SUBSTITUTE(SUBSTITUTE(C138,".",""),",",""),";",""),":",""),"!",""),"?",""),"""",""),"'",""),"’",""),"“",""),"”",""))))</f>
        <v/>
      </c>
      <c r="N138" s="46">
        <f>IF($A138="","",SUBSTITUTE(SUBSTITUTE(LOWER(TRIM(SUBSTITUTE(SUBSTITUTE(SUBSTITUTE(SUBSTITUTE(SUBSTITUTE(SUBSTITUTE(SUBSTITUTE(SUBSTITUTE(SUBSTITUTE(SUBSTITUTE(SUBSTITUTE(D138,".",""),",",""),";",""),":",""),"!",""),"?",""),"""",""),"'",""),"’",""),"“",""),"”","")))," |","|"),"| ","|"))</f>
        <v/>
      </c>
      <c r="O138" s="46">
        <f>IF($A138="","",LOWER(TRIM(SUBSTITUTE(SUBSTITUTE(SUBSTITUTE(SUBSTITUTE(SUBSTITUTE(SUBSTITUTE(SUBSTITUTE(SUBSTITUTE(SUBSTITUTE(SUBSTITUTE(SUBSTITUTE(E138,".",""),",",""),";",""),":",""),"!",""),"?",""),"""",""),"'",""),"’",""),"“",""),"”",""))))</f>
        <v/>
      </c>
      <c r="P138" s="46">
        <f>IF($A138="","",LOWER(TRIM(SUBSTITUTE(SUBSTITUTE(SUBSTITUTE(SUBSTITUTE(SUBSTITUTE(SUBSTITUTE(SUBSTITUTE(SUBSTITUTE(SUBSTITUTE(SUBSTITUTE(SUBSTITUTE(F138,".",""),",",""),";",""),":",""),"!",""),"?",""),"""",""),"'",""),"’",""),"“",""),"”",""))))</f>
        <v/>
      </c>
      <c r="Q138" s="46">
        <f>IF($A138="","",LOWER(TRIM(SUBSTITUTE(SUBSTITUTE(SUBSTITUTE(SUBSTITUTE(SUBSTITUTE(SUBSTITUTE(SUBSTITUTE(SUBSTITUTE(SUBSTITUTE(SUBSTITUTE(SUBSTITUTE(G138,".",""),",",""),";",""),":",""),"!",""),"?",""),"""",""),"'",""),"’",""),"“",""),"”",""))))</f>
        <v/>
      </c>
      <c r="R138" s="46">
        <f>IF($A138="","",LEN(O138))</f>
        <v/>
      </c>
      <c r="S138" s="46">
        <f>IF($A138="","",IF(O138="",0,LEN(O138)-LEN(SUBSTITUTE(O138," ",""))+1))</f>
        <v/>
      </c>
      <c r="T138" s="46">
        <f>IF($A138="","",IF(AND(O138&lt;&gt;"",OR(O138=M138,AND(N138&lt;&gt;"",ISNUMBER(FIND("|"&amp;O138&amp;"|","|"&amp;N138&amp;"|"))))),1,0))</f>
        <v/>
      </c>
      <c r="U138" s="46">
        <f>IF($A138="","",IF(AND(Q138&lt;&gt;"",OR(Q138=M138,AND(N138&lt;&gt;"",ISNUMBER(FIND("|"&amp;Q138&amp;"|","|"&amp;N138&amp;"|"))))),1,0))</f>
        <v/>
      </c>
      <c r="V138" s="46">
        <f>IF($A138="","",IF(P138=O138,1,0))</f>
        <v/>
      </c>
      <c r="W138" s="46">
        <f>IF($A138="","",IF(Q138=O138,1,0))</f>
        <v/>
      </c>
      <c r="X138" s="46">
        <f>IF(OR($A138="",$H138=""),"",IF(AND($H138=1,T138=1),"TA",IF(AND($H138=0,T138=1),"FA",IF($H138=1,"FR","TR"))))</f>
        <v/>
      </c>
      <c r="Y138" s="46">
        <f>IF(OR($A138="",$H138=""),"",IF(AND($H138=1,U138=1),"TA",IF(AND($H138=0,U138=1),"FA",IF($H138=1,"FR","TR"))))</f>
        <v/>
      </c>
    </row>
    <row r="139" ht="15" customHeight="1" s="28">
      <c r="A139" s="54" t="n"/>
      <c r="B139" s="54" t="n"/>
      <c r="C139" s="54" t="n"/>
      <c r="D139" s="54" t="n"/>
      <c r="E139" s="54" t="n"/>
      <c r="F139" s="54" t="n"/>
      <c r="G139" s="54" t="n"/>
      <c r="H139" s="54" t="n"/>
      <c r="I139" s="54" t="n"/>
      <c r="J139" s="54" t="n"/>
      <c r="K139" s="54" t="n"/>
      <c r="L139" s="54" t="n"/>
      <c r="M139" s="46">
        <f>IF($A139="","",LOWER(TRIM(SUBSTITUTE(SUBSTITUTE(SUBSTITUTE(SUBSTITUTE(SUBSTITUTE(SUBSTITUTE(SUBSTITUTE(SUBSTITUTE(SUBSTITUTE(SUBSTITUTE(SUBSTITUTE(C139,".",""),",",""),";",""),":",""),"!",""),"?",""),"""",""),"'",""),"’",""),"“",""),"”",""))))</f>
        <v/>
      </c>
      <c r="N139" s="46">
        <f>IF($A139="","",SUBSTITUTE(SUBSTITUTE(LOWER(TRIM(SUBSTITUTE(SUBSTITUTE(SUBSTITUTE(SUBSTITUTE(SUBSTITUTE(SUBSTITUTE(SUBSTITUTE(SUBSTITUTE(SUBSTITUTE(SUBSTITUTE(SUBSTITUTE(D139,".",""),",",""),";",""),":",""),"!",""),"?",""),"""",""),"'",""),"’",""),"“",""),"”","")))," |","|"),"| ","|"))</f>
        <v/>
      </c>
      <c r="O139" s="46">
        <f>IF($A139="","",LOWER(TRIM(SUBSTITUTE(SUBSTITUTE(SUBSTITUTE(SUBSTITUTE(SUBSTITUTE(SUBSTITUTE(SUBSTITUTE(SUBSTITUTE(SUBSTITUTE(SUBSTITUTE(SUBSTITUTE(E139,".",""),",",""),";",""),":",""),"!",""),"?",""),"""",""),"'",""),"’",""),"“",""),"”",""))))</f>
        <v/>
      </c>
      <c r="P139" s="46">
        <f>IF($A139="","",LOWER(TRIM(SUBSTITUTE(SUBSTITUTE(SUBSTITUTE(SUBSTITUTE(SUBSTITUTE(SUBSTITUTE(SUBSTITUTE(SUBSTITUTE(SUBSTITUTE(SUBSTITUTE(SUBSTITUTE(F139,".",""),",",""),";",""),":",""),"!",""),"?",""),"""",""),"'",""),"’",""),"“",""),"”",""))))</f>
        <v/>
      </c>
      <c r="Q139" s="46">
        <f>IF($A139="","",LOWER(TRIM(SUBSTITUTE(SUBSTITUTE(SUBSTITUTE(SUBSTITUTE(SUBSTITUTE(SUBSTITUTE(SUBSTITUTE(SUBSTITUTE(SUBSTITUTE(SUBSTITUTE(SUBSTITUTE(G139,".",""),",",""),";",""),":",""),"!",""),"?",""),"""",""),"'",""),"’",""),"“",""),"”",""))))</f>
        <v/>
      </c>
      <c r="R139" s="46">
        <f>IF($A139="","",LEN(O139))</f>
        <v/>
      </c>
      <c r="S139" s="46">
        <f>IF($A139="","",IF(O139="",0,LEN(O139)-LEN(SUBSTITUTE(O139," ",""))+1))</f>
        <v/>
      </c>
      <c r="T139" s="46">
        <f>IF($A139="","",IF(AND(O139&lt;&gt;"",OR(O139=M139,AND(N139&lt;&gt;"",ISNUMBER(FIND("|"&amp;O139&amp;"|","|"&amp;N139&amp;"|"))))),1,0))</f>
        <v/>
      </c>
      <c r="U139" s="46">
        <f>IF($A139="","",IF(AND(Q139&lt;&gt;"",OR(Q139=M139,AND(N139&lt;&gt;"",ISNUMBER(FIND("|"&amp;Q139&amp;"|","|"&amp;N139&amp;"|"))))),1,0))</f>
        <v/>
      </c>
      <c r="V139" s="46">
        <f>IF($A139="","",IF(P139=O139,1,0))</f>
        <v/>
      </c>
      <c r="W139" s="46">
        <f>IF($A139="","",IF(Q139=O139,1,0))</f>
        <v/>
      </c>
      <c r="X139" s="46">
        <f>IF(OR($A139="",$H139=""),"",IF(AND($H139=1,T139=1),"TA",IF(AND($H139=0,T139=1),"FA",IF($H139=1,"FR","TR"))))</f>
        <v/>
      </c>
      <c r="Y139" s="46">
        <f>IF(OR($A139="",$H139=""),"",IF(AND($H139=1,U139=1),"TA",IF(AND($H139=0,U139=1),"FA",IF($H139=1,"FR","TR"))))</f>
        <v/>
      </c>
    </row>
    <row r="140" ht="15" customHeight="1" s="28">
      <c r="A140" s="54" t="n"/>
      <c r="B140" s="54" t="n"/>
      <c r="C140" s="54" t="n"/>
      <c r="D140" s="54" t="n"/>
      <c r="E140" s="54" t="n"/>
      <c r="F140" s="54" t="n"/>
      <c r="G140" s="54" t="n"/>
      <c r="H140" s="54" t="n"/>
      <c r="I140" s="54" t="n"/>
      <c r="J140" s="54" t="n"/>
      <c r="K140" s="54" t="n"/>
      <c r="L140" s="54" t="n"/>
      <c r="M140" s="46">
        <f>IF($A140="","",LOWER(TRIM(SUBSTITUTE(SUBSTITUTE(SUBSTITUTE(SUBSTITUTE(SUBSTITUTE(SUBSTITUTE(SUBSTITUTE(SUBSTITUTE(SUBSTITUTE(SUBSTITUTE(SUBSTITUTE(C140,".",""),",",""),";",""),":",""),"!",""),"?",""),"""",""),"'",""),"’",""),"“",""),"”",""))))</f>
        <v/>
      </c>
      <c r="N140" s="46">
        <f>IF($A140="","",SUBSTITUTE(SUBSTITUTE(LOWER(TRIM(SUBSTITUTE(SUBSTITUTE(SUBSTITUTE(SUBSTITUTE(SUBSTITUTE(SUBSTITUTE(SUBSTITUTE(SUBSTITUTE(SUBSTITUTE(SUBSTITUTE(SUBSTITUTE(D140,".",""),",",""),";",""),":",""),"!",""),"?",""),"""",""),"'",""),"’",""),"“",""),"”","")))," |","|"),"| ","|"))</f>
        <v/>
      </c>
      <c r="O140" s="46">
        <f>IF($A140="","",LOWER(TRIM(SUBSTITUTE(SUBSTITUTE(SUBSTITUTE(SUBSTITUTE(SUBSTITUTE(SUBSTITUTE(SUBSTITUTE(SUBSTITUTE(SUBSTITUTE(SUBSTITUTE(SUBSTITUTE(E140,".",""),",",""),";",""),":",""),"!",""),"?",""),"""",""),"'",""),"’",""),"“",""),"”",""))))</f>
        <v/>
      </c>
      <c r="P140" s="46">
        <f>IF($A140="","",LOWER(TRIM(SUBSTITUTE(SUBSTITUTE(SUBSTITUTE(SUBSTITUTE(SUBSTITUTE(SUBSTITUTE(SUBSTITUTE(SUBSTITUTE(SUBSTITUTE(SUBSTITUTE(SUBSTITUTE(F140,".",""),",",""),";",""),":",""),"!",""),"?",""),"""",""),"'",""),"’",""),"“",""),"”",""))))</f>
        <v/>
      </c>
      <c r="Q140" s="46">
        <f>IF($A140="","",LOWER(TRIM(SUBSTITUTE(SUBSTITUTE(SUBSTITUTE(SUBSTITUTE(SUBSTITUTE(SUBSTITUTE(SUBSTITUTE(SUBSTITUTE(SUBSTITUTE(SUBSTITUTE(SUBSTITUTE(G140,".",""),",",""),";",""),":",""),"!",""),"?",""),"""",""),"'",""),"’",""),"“",""),"”",""))))</f>
        <v/>
      </c>
      <c r="R140" s="46">
        <f>IF($A140="","",LEN(O140))</f>
        <v/>
      </c>
      <c r="S140" s="46">
        <f>IF($A140="","",IF(O140="",0,LEN(O140)-LEN(SUBSTITUTE(O140," ",""))+1))</f>
        <v/>
      </c>
      <c r="T140" s="46">
        <f>IF($A140="","",IF(AND(O140&lt;&gt;"",OR(O140=M140,AND(N140&lt;&gt;"",ISNUMBER(FIND("|"&amp;O140&amp;"|","|"&amp;N140&amp;"|"))))),1,0))</f>
        <v/>
      </c>
      <c r="U140" s="46">
        <f>IF($A140="","",IF(AND(Q140&lt;&gt;"",OR(Q140=M140,AND(N140&lt;&gt;"",ISNUMBER(FIND("|"&amp;Q140&amp;"|","|"&amp;N140&amp;"|"))))),1,0))</f>
        <v/>
      </c>
      <c r="V140" s="46">
        <f>IF($A140="","",IF(P140=O140,1,0))</f>
        <v/>
      </c>
      <c r="W140" s="46">
        <f>IF($A140="","",IF(Q140=O140,1,0))</f>
        <v/>
      </c>
      <c r="X140" s="46">
        <f>IF(OR($A140="",$H140=""),"",IF(AND($H140=1,T140=1),"TA",IF(AND($H140=0,T140=1),"FA",IF($H140=1,"FR","TR"))))</f>
        <v/>
      </c>
      <c r="Y140" s="46">
        <f>IF(OR($A140="",$H140=""),"",IF(AND($H140=1,U140=1),"TA",IF(AND($H140=0,U140=1),"FA",IF($H140=1,"FR","TR"))))</f>
        <v/>
      </c>
    </row>
    <row r="141" ht="15" customHeight="1" s="28">
      <c r="A141" s="54" t="n"/>
      <c r="B141" s="54" t="n"/>
      <c r="C141" s="54" t="n"/>
      <c r="D141" s="54" t="n"/>
      <c r="E141" s="54" t="n"/>
      <c r="F141" s="54" t="n"/>
      <c r="G141" s="54" t="n"/>
      <c r="H141" s="54" t="n"/>
      <c r="I141" s="54" t="n"/>
      <c r="J141" s="54" t="n"/>
      <c r="K141" s="54" t="n"/>
      <c r="L141" s="54" t="n"/>
      <c r="M141" s="46">
        <f>IF($A141="","",LOWER(TRIM(SUBSTITUTE(SUBSTITUTE(SUBSTITUTE(SUBSTITUTE(SUBSTITUTE(SUBSTITUTE(SUBSTITUTE(SUBSTITUTE(SUBSTITUTE(SUBSTITUTE(SUBSTITUTE(C141,".",""),",",""),";",""),":",""),"!",""),"?",""),"""",""),"'",""),"’",""),"“",""),"”",""))))</f>
        <v/>
      </c>
      <c r="N141" s="46">
        <f>IF($A141="","",SUBSTITUTE(SUBSTITUTE(LOWER(TRIM(SUBSTITUTE(SUBSTITUTE(SUBSTITUTE(SUBSTITUTE(SUBSTITUTE(SUBSTITUTE(SUBSTITUTE(SUBSTITUTE(SUBSTITUTE(SUBSTITUTE(SUBSTITUTE(D141,".",""),",",""),";",""),":",""),"!",""),"?",""),"""",""),"'",""),"’",""),"“",""),"”","")))," |","|"),"| ","|"))</f>
        <v/>
      </c>
      <c r="O141" s="46">
        <f>IF($A141="","",LOWER(TRIM(SUBSTITUTE(SUBSTITUTE(SUBSTITUTE(SUBSTITUTE(SUBSTITUTE(SUBSTITUTE(SUBSTITUTE(SUBSTITUTE(SUBSTITUTE(SUBSTITUTE(SUBSTITUTE(E141,".",""),",",""),";",""),":",""),"!",""),"?",""),"""",""),"'",""),"’",""),"“",""),"”",""))))</f>
        <v/>
      </c>
      <c r="P141" s="46">
        <f>IF($A141="","",LOWER(TRIM(SUBSTITUTE(SUBSTITUTE(SUBSTITUTE(SUBSTITUTE(SUBSTITUTE(SUBSTITUTE(SUBSTITUTE(SUBSTITUTE(SUBSTITUTE(SUBSTITUTE(SUBSTITUTE(F141,".",""),",",""),";",""),":",""),"!",""),"?",""),"""",""),"'",""),"’",""),"“",""),"”",""))))</f>
        <v/>
      </c>
      <c r="Q141" s="46">
        <f>IF($A141="","",LOWER(TRIM(SUBSTITUTE(SUBSTITUTE(SUBSTITUTE(SUBSTITUTE(SUBSTITUTE(SUBSTITUTE(SUBSTITUTE(SUBSTITUTE(SUBSTITUTE(SUBSTITUTE(SUBSTITUTE(G141,".",""),",",""),";",""),":",""),"!",""),"?",""),"""",""),"'",""),"’",""),"“",""),"”",""))))</f>
        <v/>
      </c>
      <c r="R141" s="46">
        <f>IF($A141="","",LEN(O141))</f>
        <v/>
      </c>
      <c r="S141" s="46">
        <f>IF($A141="","",IF(O141="",0,LEN(O141)-LEN(SUBSTITUTE(O141," ",""))+1))</f>
        <v/>
      </c>
      <c r="T141" s="46">
        <f>IF($A141="","",IF(AND(O141&lt;&gt;"",OR(O141=M141,AND(N141&lt;&gt;"",ISNUMBER(FIND("|"&amp;O141&amp;"|","|"&amp;N141&amp;"|"))))),1,0))</f>
        <v/>
      </c>
      <c r="U141" s="46">
        <f>IF($A141="","",IF(AND(Q141&lt;&gt;"",OR(Q141=M141,AND(N141&lt;&gt;"",ISNUMBER(FIND("|"&amp;Q141&amp;"|","|"&amp;N141&amp;"|"))))),1,0))</f>
        <v/>
      </c>
      <c r="V141" s="46">
        <f>IF($A141="","",IF(P141=O141,1,0))</f>
        <v/>
      </c>
      <c r="W141" s="46">
        <f>IF($A141="","",IF(Q141=O141,1,0))</f>
        <v/>
      </c>
      <c r="X141" s="46">
        <f>IF(OR($A141="",$H141=""),"",IF(AND($H141=1,T141=1),"TA",IF(AND($H141=0,T141=1),"FA",IF($H141=1,"FR","TR"))))</f>
        <v/>
      </c>
      <c r="Y141" s="46">
        <f>IF(OR($A141="",$H141=""),"",IF(AND($H141=1,U141=1),"TA",IF(AND($H141=0,U141=1),"FA",IF($H141=1,"FR","TR"))))</f>
        <v/>
      </c>
    </row>
    <row r="142" ht="15" customHeight="1" s="28">
      <c r="A142" s="54" t="n"/>
      <c r="B142" s="54" t="n"/>
      <c r="C142" s="54" t="n"/>
      <c r="D142" s="54" t="n"/>
      <c r="E142" s="54" t="n"/>
      <c r="F142" s="54" t="n"/>
      <c r="G142" s="54" t="n"/>
      <c r="H142" s="54" t="n"/>
      <c r="I142" s="54" t="n"/>
      <c r="J142" s="54" t="n"/>
      <c r="K142" s="54" t="n"/>
      <c r="L142" s="54" t="n"/>
      <c r="M142" s="46">
        <f>IF($A142="","",LOWER(TRIM(SUBSTITUTE(SUBSTITUTE(SUBSTITUTE(SUBSTITUTE(SUBSTITUTE(SUBSTITUTE(SUBSTITUTE(SUBSTITUTE(SUBSTITUTE(SUBSTITUTE(SUBSTITUTE(C142,".",""),",",""),";",""),":",""),"!",""),"?",""),"""",""),"'",""),"’",""),"“",""),"”",""))))</f>
        <v/>
      </c>
      <c r="N142" s="46">
        <f>IF($A142="","",SUBSTITUTE(SUBSTITUTE(LOWER(TRIM(SUBSTITUTE(SUBSTITUTE(SUBSTITUTE(SUBSTITUTE(SUBSTITUTE(SUBSTITUTE(SUBSTITUTE(SUBSTITUTE(SUBSTITUTE(SUBSTITUTE(SUBSTITUTE(D142,".",""),",",""),";",""),":",""),"!",""),"?",""),"""",""),"'",""),"’",""),"“",""),"”","")))," |","|"),"| ","|"))</f>
        <v/>
      </c>
      <c r="O142" s="46">
        <f>IF($A142="","",LOWER(TRIM(SUBSTITUTE(SUBSTITUTE(SUBSTITUTE(SUBSTITUTE(SUBSTITUTE(SUBSTITUTE(SUBSTITUTE(SUBSTITUTE(SUBSTITUTE(SUBSTITUTE(SUBSTITUTE(E142,".",""),",",""),";",""),":",""),"!",""),"?",""),"""",""),"'",""),"’",""),"“",""),"”",""))))</f>
        <v/>
      </c>
      <c r="P142" s="46">
        <f>IF($A142="","",LOWER(TRIM(SUBSTITUTE(SUBSTITUTE(SUBSTITUTE(SUBSTITUTE(SUBSTITUTE(SUBSTITUTE(SUBSTITUTE(SUBSTITUTE(SUBSTITUTE(SUBSTITUTE(SUBSTITUTE(F142,".",""),",",""),";",""),":",""),"!",""),"?",""),"""",""),"'",""),"’",""),"“",""),"”",""))))</f>
        <v/>
      </c>
      <c r="Q142" s="46">
        <f>IF($A142="","",LOWER(TRIM(SUBSTITUTE(SUBSTITUTE(SUBSTITUTE(SUBSTITUTE(SUBSTITUTE(SUBSTITUTE(SUBSTITUTE(SUBSTITUTE(SUBSTITUTE(SUBSTITUTE(SUBSTITUTE(G142,".",""),",",""),";",""),":",""),"!",""),"?",""),"""",""),"'",""),"’",""),"“",""),"”",""))))</f>
        <v/>
      </c>
      <c r="R142" s="46">
        <f>IF($A142="","",LEN(O142))</f>
        <v/>
      </c>
      <c r="S142" s="46">
        <f>IF($A142="","",IF(O142="",0,LEN(O142)-LEN(SUBSTITUTE(O142," ",""))+1))</f>
        <v/>
      </c>
      <c r="T142" s="46">
        <f>IF($A142="","",IF(AND(O142&lt;&gt;"",OR(O142=M142,AND(N142&lt;&gt;"",ISNUMBER(FIND("|"&amp;O142&amp;"|","|"&amp;N142&amp;"|"))))),1,0))</f>
        <v/>
      </c>
      <c r="U142" s="46">
        <f>IF($A142="","",IF(AND(Q142&lt;&gt;"",OR(Q142=M142,AND(N142&lt;&gt;"",ISNUMBER(FIND("|"&amp;Q142&amp;"|","|"&amp;N142&amp;"|"))))),1,0))</f>
        <v/>
      </c>
      <c r="V142" s="46">
        <f>IF($A142="","",IF(P142=O142,1,0))</f>
        <v/>
      </c>
      <c r="W142" s="46">
        <f>IF($A142="","",IF(Q142=O142,1,0))</f>
        <v/>
      </c>
      <c r="X142" s="46">
        <f>IF(OR($A142="",$H142=""),"",IF(AND($H142=1,T142=1),"TA",IF(AND($H142=0,T142=1),"FA",IF($H142=1,"FR","TR"))))</f>
        <v/>
      </c>
      <c r="Y142" s="46">
        <f>IF(OR($A142="",$H142=""),"",IF(AND($H142=1,U142=1),"TA",IF(AND($H142=0,U142=1),"FA",IF($H142=1,"FR","TR"))))</f>
        <v/>
      </c>
    </row>
    <row r="143" ht="15" customHeight="1" s="28">
      <c r="A143" s="54" t="n"/>
      <c r="B143" s="54" t="n"/>
      <c r="C143" s="54" t="n"/>
      <c r="D143" s="54" t="n"/>
      <c r="E143" s="54" t="n"/>
      <c r="F143" s="54" t="n"/>
      <c r="G143" s="54" t="n"/>
      <c r="H143" s="54" t="n"/>
      <c r="I143" s="54" t="n"/>
      <c r="J143" s="54" t="n"/>
      <c r="K143" s="54" t="n"/>
      <c r="L143" s="54" t="n"/>
      <c r="M143" s="46">
        <f>IF($A143="","",LOWER(TRIM(SUBSTITUTE(SUBSTITUTE(SUBSTITUTE(SUBSTITUTE(SUBSTITUTE(SUBSTITUTE(SUBSTITUTE(SUBSTITUTE(SUBSTITUTE(SUBSTITUTE(SUBSTITUTE(C143,".",""),",",""),";",""),":",""),"!",""),"?",""),"""",""),"'",""),"’",""),"“",""),"”",""))))</f>
        <v/>
      </c>
      <c r="N143" s="46">
        <f>IF($A143="","",SUBSTITUTE(SUBSTITUTE(LOWER(TRIM(SUBSTITUTE(SUBSTITUTE(SUBSTITUTE(SUBSTITUTE(SUBSTITUTE(SUBSTITUTE(SUBSTITUTE(SUBSTITUTE(SUBSTITUTE(SUBSTITUTE(SUBSTITUTE(D143,".",""),",",""),";",""),":",""),"!",""),"?",""),"""",""),"'",""),"’",""),"“",""),"”","")))," |","|"),"| ","|"))</f>
        <v/>
      </c>
      <c r="O143" s="46">
        <f>IF($A143="","",LOWER(TRIM(SUBSTITUTE(SUBSTITUTE(SUBSTITUTE(SUBSTITUTE(SUBSTITUTE(SUBSTITUTE(SUBSTITUTE(SUBSTITUTE(SUBSTITUTE(SUBSTITUTE(SUBSTITUTE(E143,".",""),",",""),";",""),":",""),"!",""),"?",""),"""",""),"'",""),"’",""),"“",""),"”",""))))</f>
        <v/>
      </c>
      <c r="P143" s="46">
        <f>IF($A143="","",LOWER(TRIM(SUBSTITUTE(SUBSTITUTE(SUBSTITUTE(SUBSTITUTE(SUBSTITUTE(SUBSTITUTE(SUBSTITUTE(SUBSTITUTE(SUBSTITUTE(SUBSTITUTE(SUBSTITUTE(F143,".",""),",",""),";",""),":",""),"!",""),"?",""),"""",""),"'",""),"’",""),"“",""),"”",""))))</f>
        <v/>
      </c>
      <c r="Q143" s="46">
        <f>IF($A143="","",LOWER(TRIM(SUBSTITUTE(SUBSTITUTE(SUBSTITUTE(SUBSTITUTE(SUBSTITUTE(SUBSTITUTE(SUBSTITUTE(SUBSTITUTE(SUBSTITUTE(SUBSTITUTE(SUBSTITUTE(G143,".",""),",",""),";",""),":",""),"!",""),"?",""),"""",""),"'",""),"’",""),"“",""),"”",""))))</f>
        <v/>
      </c>
      <c r="R143" s="46">
        <f>IF($A143="","",LEN(O143))</f>
        <v/>
      </c>
      <c r="S143" s="46">
        <f>IF($A143="","",IF(O143="",0,LEN(O143)-LEN(SUBSTITUTE(O143," ",""))+1))</f>
        <v/>
      </c>
      <c r="T143" s="46">
        <f>IF($A143="","",IF(AND(O143&lt;&gt;"",OR(O143=M143,AND(N143&lt;&gt;"",ISNUMBER(FIND("|"&amp;O143&amp;"|","|"&amp;N143&amp;"|"))))),1,0))</f>
        <v/>
      </c>
      <c r="U143" s="46">
        <f>IF($A143="","",IF(AND(Q143&lt;&gt;"",OR(Q143=M143,AND(N143&lt;&gt;"",ISNUMBER(FIND("|"&amp;Q143&amp;"|","|"&amp;N143&amp;"|"))))),1,0))</f>
        <v/>
      </c>
      <c r="V143" s="46">
        <f>IF($A143="","",IF(P143=O143,1,0))</f>
        <v/>
      </c>
      <c r="W143" s="46">
        <f>IF($A143="","",IF(Q143=O143,1,0))</f>
        <v/>
      </c>
      <c r="X143" s="46">
        <f>IF(OR($A143="",$H143=""),"",IF(AND($H143=1,T143=1),"TA",IF(AND($H143=0,T143=1),"FA",IF($H143=1,"FR","TR"))))</f>
        <v/>
      </c>
      <c r="Y143" s="46">
        <f>IF(OR($A143="",$H143=""),"",IF(AND($H143=1,U143=1),"TA",IF(AND($H143=0,U143=1),"FA",IF($H143=1,"FR","TR"))))</f>
        <v/>
      </c>
    </row>
    <row r="144" ht="15" customHeight="1" s="28">
      <c r="A144" s="54" t="n"/>
      <c r="B144" s="54" t="n"/>
      <c r="C144" s="54" t="n"/>
      <c r="D144" s="54" t="n"/>
      <c r="E144" s="54" t="n"/>
      <c r="F144" s="54" t="n"/>
      <c r="G144" s="54" t="n"/>
      <c r="H144" s="54" t="n"/>
      <c r="I144" s="54" t="n"/>
      <c r="J144" s="54" t="n"/>
      <c r="K144" s="54" t="n"/>
      <c r="L144" s="54" t="n"/>
      <c r="M144" s="46">
        <f>IF($A144="","",LOWER(TRIM(SUBSTITUTE(SUBSTITUTE(SUBSTITUTE(SUBSTITUTE(SUBSTITUTE(SUBSTITUTE(SUBSTITUTE(SUBSTITUTE(SUBSTITUTE(SUBSTITUTE(SUBSTITUTE(C144,".",""),",",""),";",""),":",""),"!",""),"?",""),"""",""),"'",""),"’",""),"“",""),"”",""))))</f>
        <v/>
      </c>
      <c r="N144" s="46">
        <f>IF($A144="","",SUBSTITUTE(SUBSTITUTE(LOWER(TRIM(SUBSTITUTE(SUBSTITUTE(SUBSTITUTE(SUBSTITUTE(SUBSTITUTE(SUBSTITUTE(SUBSTITUTE(SUBSTITUTE(SUBSTITUTE(SUBSTITUTE(SUBSTITUTE(D144,".",""),",",""),";",""),":",""),"!",""),"?",""),"""",""),"'",""),"’",""),"“",""),"”","")))," |","|"),"| ","|"))</f>
        <v/>
      </c>
      <c r="O144" s="46">
        <f>IF($A144="","",LOWER(TRIM(SUBSTITUTE(SUBSTITUTE(SUBSTITUTE(SUBSTITUTE(SUBSTITUTE(SUBSTITUTE(SUBSTITUTE(SUBSTITUTE(SUBSTITUTE(SUBSTITUTE(SUBSTITUTE(E144,".",""),",",""),";",""),":",""),"!",""),"?",""),"""",""),"'",""),"’",""),"“",""),"”",""))))</f>
        <v/>
      </c>
      <c r="P144" s="46">
        <f>IF($A144="","",LOWER(TRIM(SUBSTITUTE(SUBSTITUTE(SUBSTITUTE(SUBSTITUTE(SUBSTITUTE(SUBSTITUTE(SUBSTITUTE(SUBSTITUTE(SUBSTITUTE(SUBSTITUTE(SUBSTITUTE(F144,".",""),",",""),";",""),":",""),"!",""),"?",""),"""",""),"'",""),"’",""),"“",""),"”",""))))</f>
        <v/>
      </c>
      <c r="Q144" s="46">
        <f>IF($A144="","",LOWER(TRIM(SUBSTITUTE(SUBSTITUTE(SUBSTITUTE(SUBSTITUTE(SUBSTITUTE(SUBSTITUTE(SUBSTITUTE(SUBSTITUTE(SUBSTITUTE(SUBSTITUTE(SUBSTITUTE(G144,".",""),",",""),";",""),":",""),"!",""),"?",""),"""",""),"'",""),"’",""),"“",""),"”",""))))</f>
        <v/>
      </c>
      <c r="R144" s="46">
        <f>IF($A144="","",LEN(O144))</f>
        <v/>
      </c>
      <c r="S144" s="46">
        <f>IF($A144="","",IF(O144="",0,LEN(O144)-LEN(SUBSTITUTE(O144," ",""))+1))</f>
        <v/>
      </c>
      <c r="T144" s="46">
        <f>IF($A144="","",IF(AND(O144&lt;&gt;"",OR(O144=M144,AND(N144&lt;&gt;"",ISNUMBER(FIND("|"&amp;O144&amp;"|","|"&amp;N144&amp;"|"))))),1,0))</f>
        <v/>
      </c>
      <c r="U144" s="46">
        <f>IF($A144="","",IF(AND(Q144&lt;&gt;"",OR(Q144=M144,AND(N144&lt;&gt;"",ISNUMBER(FIND("|"&amp;Q144&amp;"|","|"&amp;N144&amp;"|"))))),1,0))</f>
        <v/>
      </c>
      <c r="V144" s="46">
        <f>IF($A144="","",IF(P144=O144,1,0))</f>
        <v/>
      </c>
      <c r="W144" s="46">
        <f>IF($A144="","",IF(Q144=O144,1,0))</f>
        <v/>
      </c>
      <c r="X144" s="46">
        <f>IF(OR($A144="",$H144=""),"",IF(AND($H144=1,T144=1),"TA",IF(AND($H144=0,T144=1),"FA",IF($H144=1,"FR","TR"))))</f>
        <v/>
      </c>
      <c r="Y144" s="46">
        <f>IF(OR($A144="",$H144=""),"",IF(AND($H144=1,U144=1),"TA",IF(AND($H144=0,U144=1),"FA",IF($H144=1,"FR","TR"))))</f>
        <v/>
      </c>
    </row>
    <row r="145" ht="15" customHeight="1" s="28">
      <c r="A145" s="54" t="n"/>
      <c r="B145" s="54" t="n"/>
      <c r="C145" s="54" t="n"/>
      <c r="D145" s="54" t="n"/>
      <c r="E145" s="54" t="n"/>
      <c r="F145" s="54" t="n"/>
      <c r="G145" s="54" t="n"/>
      <c r="H145" s="54" t="n"/>
      <c r="I145" s="54" t="n"/>
      <c r="J145" s="54" t="n"/>
      <c r="K145" s="54" t="n"/>
      <c r="L145" s="54" t="n"/>
      <c r="M145" s="46">
        <f>IF($A145="","",LOWER(TRIM(SUBSTITUTE(SUBSTITUTE(SUBSTITUTE(SUBSTITUTE(SUBSTITUTE(SUBSTITUTE(SUBSTITUTE(SUBSTITUTE(SUBSTITUTE(SUBSTITUTE(SUBSTITUTE(C145,".",""),",",""),";",""),":",""),"!",""),"?",""),"""",""),"'",""),"’",""),"“",""),"”",""))))</f>
        <v/>
      </c>
      <c r="N145" s="46">
        <f>IF($A145="","",SUBSTITUTE(SUBSTITUTE(LOWER(TRIM(SUBSTITUTE(SUBSTITUTE(SUBSTITUTE(SUBSTITUTE(SUBSTITUTE(SUBSTITUTE(SUBSTITUTE(SUBSTITUTE(SUBSTITUTE(SUBSTITUTE(SUBSTITUTE(D145,".",""),",",""),";",""),":",""),"!",""),"?",""),"""",""),"'",""),"’",""),"“",""),"”","")))," |","|"),"| ","|"))</f>
        <v/>
      </c>
      <c r="O145" s="46">
        <f>IF($A145="","",LOWER(TRIM(SUBSTITUTE(SUBSTITUTE(SUBSTITUTE(SUBSTITUTE(SUBSTITUTE(SUBSTITUTE(SUBSTITUTE(SUBSTITUTE(SUBSTITUTE(SUBSTITUTE(SUBSTITUTE(E145,".",""),",",""),";",""),":",""),"!",""),"?",""),"""",""),"'",""),"’",""),"“",""),"”",""))))</f>
        <v/>
      </c>
      <c r="P145" s="46">
        <f>IF($A145="","",LOWER(TRIM(SUBSTITUTE(SUBSTITUTE(SUBSTITUTE(SUBSTITUTE(SUBSTITUTE(SUBSTITUTE(SUBSTITUTE(SUBSTITUTE(SUBSTITUTE(SUBSTITUTE(SUBSTITUTE(F145,".",""),",",""),";",""),":",""),"!",""),"?",""),"""",""),"'",""),"’",""),"“",""),"”",""))))</f>
        <v/>
      </c>
      <c r="Q145" s="46">
        <f>IF($A145="","",LOWER(TRIM(SUBSTITUTE(SUBSTITUTE(SUBSTITUTE(SUBSTITUTE(SUBSTITUTE(SUBSTITUTE(SUBSTITUTE(SUBSTITUTE(SUBSTITUTE(SUBSTITUTE(SUBSTITUTE(G145,".",""),",",""),";",""),":",""),"!",""),"?",""),"""",""),"'",""),"’",""),"“",""),"”",""))))</f>
        <v/>
      </c>
      <c r="R145" s="46">
        <f>IF($A145="","",LEN(O145))</f>
        <v/>
      </c>
      <c r="S145" s="46">
        <f>IF($A145="","",IF(O145="",0,LEN(O145)-LEN(SUBSTITUTE(O145," ",""))+1))</f>
        <v/>
      </c>
      <c r="T145" s="46">
        <f>IF($A145="","",IF(AND(O145&lt;&gt;"",OR(O145=M145,AND(N145&lt;&gt;"",ISNUMBER(FIND("|"&amp;O145&amp;"|","|"&amp;N145&amp;"|"))))),1,0))</f>
        <v/>
      </c>
      <c r="U145" s="46">
        <f>IF($A145="","",IF(AND(Q145&lt;&gt;"",OR(Q145=M145,AND(N145&lt;&gt;"",ISNUMBER(FIND("|"&amp;Q145&amp;"|","|"&amp;N145&amp;"|"))))),1,0))</f>
        <v/>
      </c>
      <c r="V145" s="46">
        <f>IF($A145="","",IF(P145=O145,1,0))</f>
        <v/>
      </c>
      <c r="W145" s="46">
        <f>IF($A145="","",IF(Q145=O145,1,0))</f>
        <v/>
      </c>
      <c r="X145" s="46">
        <f>IF(OR($A145="",$H145=""),"",IF(AND($H145=1,T145=1),"TA",IF(AND($H145=0,T145=1),"FA",IF($H145=1,"FR","TR"))))</f>
        <v/>
      </c>
      <c r="Y145" s="46">
        <f>IF(OR($A145="",$H145=""),"",IF(AND($H145=1,U145=1),"TA",IF(AND($H145=0,U145=1),"FA",IF($H145=1,"FR","TR"))))</f>
        <v/>
      </c>
    </row>
    <row r="146" ht="15" customHeight="1" s="28">
      <c r="A146" s="54" t="n"/>
      <c r="B146" s="54" t="n"/>
      <c r="C146" s="54" t="n"/>
      <c r="D146" s="54" t="n"/>
      <c r="E146" s="54" t="n"/>
      <c r="F146" s="54" t="n"/>
      <c r="G146" s="54" t="n"/>
      <c r="H146" s="54" t="n"/>
      <c r="I146" s="54" t="n"/>
      <c r="J146" s="54" t="n"/>
      <c r="K146" s="54" t="n"/>
      <c r="L146" s="54" t="n"/>
      <c r="M146" s="46">
        <f>IF($A146="","",LOWER(TRIM(SUBSTITUTE(SUBSTITUTE(SUBSTITUTE(SUBSTITUTE(SUBSTITUTE(SUBSTITUTE(SUBSTITUTE(SUBSTITUTE(SUBSTITUTE(SUBSTITUTE(SUBSTITUTE(C146,".",""),",",""),";",""),":",""),"!",""),"?",""),"""",""),"'",""),"’",""),"“",""),"”",""))))</f>
        <v/>
      </c>
      <c r="N146" s="46">
        <f>IF($A146="","",SUBSTITUTE(SUBSTITUTE(LOWER(TRIM(SUBSTITUTE(SUBSTITUTE(SUBSTITUTE(SUBSTITUTE(SUBSTITUTE(SUBSTITUTE(SUBSTITUTE(SUBSTITUTE(SUBSTITUTE(SUBSTITUTE(SUBSTITUTE(D146,".",""),",",""),";",""),":",""),"!",""),"?",""),"""",""),"'",""),"’",""),"“",""),"”","")))," |","|"),"| ","|"))</f>
        <v/>
      </c>
      <c r="O146" s="46">
        <f>IF($A146="","",LOWER(TRIM(SUBSTITUTE(SUBSTITUTE(SUBSTITUTE(SUBSTITUTE(SUBSTITUTE(SUBSTITUTE(SUBSTITUTE(SUBSTITUTE(SUBSTITUTE(SUBSTITUTE(SUBSTITUTE(E146,".",""),",",""),";",""),":",""),"!",""),"?",""),"""",""),"'",""),"’",""),"“",""),"”",""))))</f>
        <v/>
      </c>
      <c r="P146" s="46">
        <f>IF($A146="","",LOWER(TRIM(SUBSTITUTE(SUBSTITUTE(SUBSTITUTE(SUBSTITUTE(SUBSTITUTE(SUBSTITUTE(SUBSTITUTE(SUBSTITUTE(SUBSTITUTE(SUBSTITUTE(SUBSTITUTE(F146,".",""),",",""),";",""),":",""),"!",""),"?",""),"""",""),"'",""),"’",""),"“",""),"”",""))))</f>
        <v/>
      </c>
      <c r="Q146" s="46">
        <f>IF($A146="","",LOWER(TRIM(SUBSTITUTE(SUBSTITUTE(SUBSTITUTE(SUBSTITUTE(SUBSTITUTE(SUBSTITUTE(SUBSTITUTE(SUBSTITUTE(SUBSTITUTE(SUBSTITUTE(SUBSTITUTE(G146,".",""),",",""),";",""),":",""),"!",""),"?",""),"""",""),"'",""),"’",""),"“",""),"”",""))))</f>
        <v/>
      </c>
      <c r="R146" s="46">
        <f>IF($A146="","",LEN(O146))</f>
        <v/>
      </c>
      <c r="S146" s="46">
        <f>IF($A146="","",IF(O146="",0,LEN(O146)-LEN(SUBSTITUTE(O146," ",""))+1))</f>
        <v/>
      </c>
      <c r="T146" s="46">
        <f>IF($A146="","",IF(AND(O146&lt;&gt;"",OR(O146=M146,AND(N146&lt;&gt;"",ISNUMBER(FIND("|"&amp;O146&amp;"|","|"&amp;N146&amp;"|"))))),1,0))</f>
        <v/>
      </c>
      <c r="U146" s="46">
        <f>IF($A146="","",IF(AND(Q146&lt;&gt;"",OR(Q146=M146,AND(N146&lt;&gt;"",ISNUMBER(FIND("|"&amp;Q146&amp;"|","|"&amp;N146&amp;"|"))))),1,0))</f>
        <v/>
      </c>
      <c r="V146" s="46">
        <f>IF($A146="","",IF(P146=O146,1,0))</f>
        <v/>
      </c>
      <c r="W146" s="46">
        <f>IF($A146="","",IF(Q146=O146,1,0))</f>
        <v/>
      </c>
      <c r="X146" s="46">
        <f>IF(OR($A146="",$H146=""),"",IF(AND($H146=1,T146=1),"TA",IF(AND($H146=0,T146=1),"FA",IF($H146=1,"FR","TR"))))</f>
        <v/>
      </c>
      <c r="Y146" s="46">
        <f>IF(OR($A146="",$H146=""),"",IF(AND($H146=1,U146=1),"TA",IF(AND($H146=0,U146=1),"FA",IF($H146=1,"FR","TR"))))</f>
        <v/>
      </c>
    </row>
    <row r="147" ht="15" customHeight="1" s="28">
      <c r="A147" s="54" t="n"/>
      <c r="B147" s="54" t="n"/>
      <c r="C147" s="54" t="n"/>
      <c r="D147" s="54" t="n"/>
      <c r="E147" s="54" t="n"/>
      <c r="F147" s="54" t="n"/>
      <c r="G147" s="54" t="n"/>
      <c r="H147" s="54" t="n"/>
      <c r="I147" s="54" t="n"/>
      <c r="J147" s="54" t="n"/>
      <c r="K147" s="54" t="n"/>
      <c r="L147" s="54" t="n"/>
      <c r="M147" s="46">
        <f>IF($A147="","",LOWER(TRIM(SUBSTITUTE(SUBSTITUTE(SUBSTITUTE(SUBSTITUTE(SUBSTITUTE(SUBSTITUTE(SUBSTITUTE(SUBSTITUTE(SUBSTITUTE(SUBSTITUTE(SUBSTITUTE(C147,".",""),",",""),";",""),":",""),"!",""),"?",""),"""",""),"'",""),"’",""),"“",""),"”",""))))</f>
        <v/>
      </c>
      <c r="N147" s="46">
        <f>IF($A147="","",SUBSTITUTE(SUBSTITUTE(LOWER(TRIM(SUBSTITUTE(SUBSTITUTE(SUBSTITUTE(SUBSTITUTE(SUBSTITUTE(SUBSTITUTE(SUBSTITUTE(SUBSTITUTE(SUBSTITUTE(SUBSTITUTE(SUBSTITUTE(D147,".",""),",",""),";",""),":",""),"!",""),"?",""),"""",""),"'",""),"’",""),"“",""),"”","")))," |","|"),"| ","|"))</f>
        <v/>
      </c>
      <c r="O147" s="46">
        <f>IF($A147="","",LOWER(TRIM(SUBSTITUTE(SUBSTITUTE(SUBSTITUTE(SUBSTITUTE(SUBSTITUTE(SUBSTITUTE(SUBSTITUTE(SUBSTITUTE(SUBSTITUTE(SUBSTITUTE(SUBSTITUTE(E147,".",""),",",""),";",""),":",""),"!",""),"?",""),"""",""),"'",""),"’",""),"“",""),"”",""))))</f>
        <v/>
      </c>
      <c r="P147" s="46">
        <f>IF($A147="","",LOWER(TRIM(SUBSTITUTE(SUBSTITUTE(SUBSTITUTE(SUBSTITUTE(SUBSTITUTE(SUBSTITUTE(SUBSTITUTE(SUBSTITUTE(SUBSTITUTE(SUBSTITUTE(SUBSTITUTE(F147,".",""),",",""),";",""),":",""),"!",""),"?",""),"""",""),"'",""),"’",""),"“",""),"”",""))))</f>
        <v/>
      </c>
      <c r="Q147" s="46">
        <f>IF($A147="","",LOWER(TRIM(SUBSTITUTE(SUBSTITUTE(SUBSTITUTE(SUBSTITUTE(SUBSTITUTE(SUBSTITUTE(SUBSTITUTE(SUBSTITUTE(SUBSTITUTE(SUBSTITUTE(SUBSTITUTE(G147,".",""),",",""),";",""),":",""),"!",""),"?",""),"""",""),"'",""),"’",""),"“",""),"”",""))))</f>
        <v/>
      </c>
      <c r="R147" s="46">
        <f>IF($A147="","",LEN(O147))</f>
        <v/>
      </c>
      <c r="S147" s="46">
        <f>IF($A147="","",IF(O147="",0,LEN(O147)-LEN(SUBSTITUTE(O147," ",""))+1))</f>
        <v/>
      </c>
      <c r="T147" s="46">
        <f>IF($A147="","",IF(AND(O147&lt;&gt;"",OR(O147=M147,AND(N147&lt;&gt;"",ISNUMBER(FIND("|"&amp;O147&amp;"|","|"&amp;N147&amp;"|"))))),1,0))</f>
        <v/>
      </c>
      <c r="U147" s="46">
        <f>IF($A147="","",IF(AND(Q147&lt;&gt;"",OR(Q147=M147,AND(N147&lt;&gt;"",ISNUMBER(FIND("|"&amp;Q147&amp;"|","|"&amp;N147&amp;"|"))))),1,0))</f>
        <v/>
      </c>
      <c r="V147" s="46">
        <f>IF($A147="","",IF(P147=O147,1,0))</f>
        <v/>
      </c>
      <c r="W147" s="46">
        <f>IF($A147="","",IF(Q147=O147,1,0))</f>
        <v/>
      </c>
      <c r="X147" s="46">
        <f>IF(OR($A147="",$H147=""),"",IF(AND($H147=1,T147=1),"TA",IF(AND($H147=0,T147=1),"FA",IF($H147=1,"FR","TR"))))</f>
        <v/>
      </c>
      <c r="Y147" s="46">
        <f>IF(OR($A147="",$H147=""),"",IF(AND($H147=1,U147=1),"TA",IF(AND($H147=0,U147=1),"FA",IF($H147=1,"FR","TR"))))</f>
        <v/>
      </c>
    </row>
    <row r="148" ht="15" customHeight="1" s="28">
      <c r="A148" s="54" t="n"/>
      <c r="B148" s="54" t="n"/>
      <c r="C148" s="54" t="n"/>
      <c r="D148" s="54" t="n"/>
      <c r="E148" s="54" t="n"/>
      <c r="F148" s="54" t="n"/>
      <c r="G148" s="54" t="n"/>
      <c r="H148" s="54" t="n"/>
      <c r="I148" s="54" t="n"/>
      <c r="J148" s="54" t="n"/>
      <c r="K148" s="54" t="n"/>
      <c r="L148" s="54" t="n"/>
      <c r="M148" s="46">
        <f>IF($A148="","",LOWER(TRIM(SUBSTITUTE(SUBSTITUTE(SUBSTITUTE(SUBSTITUTE(SUBSTITUTE(SUBSTITUTE(SUBSTITUTE(SUBSTITUTE(SUBSTITUTE(SUBSTITUTE(SUBSTITUTE(C148,".",""),",",""),";",""),":",""),"!",""),"?",""),"""",""),"'",""),"’",""),"“",""),"”",""))))</f>
        <v/>
      </c>
      <c r="N148" s="46">
        <f>IF($A148="","",SUBSTITUTE(SUBSTITUTE(LOWER(TRIM(SUBSTITUTE(SUBSTITUTE(SUBSTITUTE(SUBSTITUTE(SUBSTITUTE(SUBSTITUTE(SUBSTITUTE(SUBSTITUTE(SUBSTITUTE(SUBSTITUTE(SUBSTITUTE(D148,".",""),",",""),";",""),":",""),"!",""),"?",""),"""",""),"'",""),"’",""),"“",""),"”","")))," |","|"),"| ","|"))</f>
        <v/>
      </c>
      <c r="O148" s="46">
        <f>IF($A148="","",LOWER(TRIM(SUBSTITUTE(SUBSTITUTE(SUBSTITUTE(SUBSTITUTE(SUBSTITUTE(SUBSTITUTE(SUBSTITUTE(SUBSTITUTE(SUBSTITUTE(SUBSTITUTE(SUBSTITUTE(E148,".",""),",",""),";",""),":",""),"!",""),"?",""),"""",""),"'",""),"’",""),"“",""),"”",""))))</f>
        <v/>
      </c>
      <c r="P148" s="46">
        <f>IF($A148="","",LOWER(TRIM(SUBSTITUTE(SUBSTITUTE(SUBSTITUTE(SUBSTITUTE(SUBSTITUTE(SUBSTITUTE(SUBSTITUTE(SUBSTITUTE(SUBSTITUTE(SUBSTITUTE(SUBSTITUTE(F148,".",""),",",""),";",""),":",""),"!",""),"?",""),"""",""),"'",""),"’",""),"“",""),"”",""))))</f>
        <v/>
      </c>
      <c r="Q148" s="46">
        <f>IF($A148="","",LOWER(TRIM(SUBSTITUTE(SUBSTITUTE(SUBSTITUTE(SUBSTITUTE(SUBSTITUTE(SUBSTITUTE(SUBSTITUTE(SUBSTITUTE(SUBSTITUTE(SUBSTITUTE(SUBSTITUTE(G148,".",""),",",""),";",""),":",""),"!",""),"?",""),"""",""),"'",""),"’",""),"“",""),"”",""))))</f>
        <v/>
      </c>
      <c r="R148" s="46">
        <f>IF($A148="","",LEN(O148))</f>
        <v/>
      </c>
      <c r="S148" s="46">
        <f>IF($A148="","",IF(O148="",0,LEN(O148)-LEN(SUBSTITUTE(O148," ",""))+1))</f>
        <v/>
      </c>
      <c r="T148" s="46">
        <f>IF($A148="","",IF(AND(O148&lt;&gt;"",OR(O148=M148,AND(N148&lt;&gt;"",ISNUMBER(FIND("|"&amp;O148&amp;"|","|"&amp;N148&amp;"|"))))),1,0))</f>
        <v/>
      </c>
      <c r="U148" s="46">
        <f>IF($A148="","",IF(AND(Q148&lt;&gt;"",OR(Q148=M148,AND(N148&lt;&gt;"",ISNUMBER(FIND("|"&amp;Q148&amp;"|","|"&amp;N148&amp;"|"))))),1,0))</f>
        <v/>
      </c>
      <c r="V148" s="46">
        <f>IF($A148="","",IF(P148=O148,1,0))</f>
        <v/>
      </c>
      <c r="W148" s="46">
        <f>IF($A148="","",IF(Q148=O148,1,0))</f>
        <v/>
      </c>
      <c r="X148" s="46">
        <f>IF(OR($A148="",$H148=""),"",IF(AND($H148=1,T148=1),"TA",IF(AND($H148=0,T148=1),"FA",IF($H148=1,"FR","TR"))))</f>
        <v/>
      </c>
      <c r="Y148" s="46">
        <f>IF(OR($A148="",$H148=""),"",IF(AND($H148=1,U148=1),"TA",IF(AND($H148=0,U148=1),"FA",IF($H148=1,"FR","TR"))))</f>
        <v/>
      </c>
    </row>
    <row r="149" ht="15" customHeight="1" s="28">
      <c r="A149" s="54" t="n"/>
      <c r="B149" s="54" t="n"/>
      <c r="C149" s="54" t="n"/>
      <c r="D149" s="54" t="n"/>
      <c r="E149" s="54" t="n"/>
      <c r="F149" s="54" t="n"/>
      <c r="G149" s="54" t="n"/>
      <c r="H149" s="54" t="n"/>
      <c r="I149" s="54" t="n"/>
      <c r="J149" s="54" t="n"/>
      <c r="K149" s="54" t="n"/>
      <c r="L149" s="54" t="n"/>
      <c r="M149" s="46">
        <f>IF($A149="","",LOWER(TRIM(SUBSTITUTE(SUBSTITUTE(SUBSTITUTE(SUBSTITUTE(SUBSTITUTE(SUBSTITUTE(SUBSTITUTE(SUBSTITUTE(SUBSTITUTE(SUBSTITUTE(SUBSTITUTE(C149,".",""),",",""),";",""),":",""),"!",""),"?",""),"""",""),"'",""),"’",""),"“",""),"”",""))))</f>
        <v/>
      </c>
      <c r="N149" s="46">
        <f>IF($A149="","",SUBSTITUTE(SUBSTITUTE(LOWER(TRIM(SUBSTITUTE(SUBSTITUTE(SUBSTITUTE(SUBSTITUTE(SUBSTITUTE(SUBSTITUTE(SUBSTITUTE(SUBSTITUTE(SUBSTITUTE(SUBSTITUTE(SUBSTITUTE(D149,".",""),",",""),";",""),":",""),"!",""),"?",""),"""",""),"'",""),"’",""),"“",""),"”","")))," |","|"),"| ","|"))</f>
        <v/>
      </c>
      <c r="O149" s="46">
        <f>IF($A149="","",LOWER(TRIM(SUBSTITUTE(SUBSTITUTE(SUBSTITUTE(SUBSTITUTE(SUBSTITUTE(SUBSTITUTE(SUBSTITUTE(SUBSTITUTE(SUBSTITUTE(SUBSTITUTE(SUBSTITUTE(E149,".",""),",",""),";",""),":",""),"!",""),"?",""),"""",""),"'",""),"’",""),"“",""),"”",""))))</f>
        <v/>
      </c>
      <c r="P149" s="46">
        <f>IF($A149="","",LOWER(TRIM(SUBSTITUTE(SUBSTITUTE(SUBSTITUTE(SUBSTITUTE(SUBSTITUTE(SUBSTITUTE(SUBSTITUTE(SUBSTITUTE(SUBSTITUTE(SUBSTITUTE(SUBSTITUTE(F149,".",""),",",""),";",""),":",""),"!",""),"?",""),"""",""),"'",""),"’",""),"“",""),"”",""))))</f>
        <v/>
      </c>
      <c r="Q149" s="46">
        <f>IF($A149="","",LOWER(TRIM(SUBSTITUTE(SUBSTITUTE(SUBSTITUTE(SUBSTITUTE(SUBSTITUTE(SUBSTITUTE(SUBSTITUTE(SUBSTITUTE(SUBSTITUTE(SUBSTITUTE(SUBSTITUTE(G149,".",""),",",""),";",""),":",""),"!",""),"?",""),"""",""),"'",""),"’",""),"“",""),"”",""))))</f>
        <v/>
      </c>
      <c r="R149" s="46">
        <f>IF($A149="","",LEN(O149))</f>
        <v/>
      </c>
      <c r="S149" s="46">
        <f>IF($A149="","",IF(O149="",0,LEN(O149)-LEN(SUBSTITUTE(O149," ",""))+1))</f>
        <v/>
      </c>
      <c r="T149" s="46">
        <f>IF($A149="","",IF(AND(O149&lt;&gt;"",OR(O149=M149,AND(N149&lt;&gt;"",ISNUMBER(FIND("|"&amp;O149&amp;"|","|"&amp;N149&amp;"|"))))),1,0))</f>
        <v/>
      </c>
      <c r="U149" s="46">
        <f>IF($A149="","",IF(AND(Q149&lt;&gt;"",OR(Q149=M149,AND(N149&lt;&gt;"",ISNUMBER(FIND("|"&amp;Q149&amp;"|","|"&amp;N149&amp;"|"))))),1,0))</f>
        <v/>
      </c>
      <c r="V149" s="46">
        <f>IF($A149="","",IF(P149=O149,1,0))</f>
        <v/>
      </c>
      <c r="W149" s="46">
        <f>IF($A149="","",IF(Q149=O149,1,0))</f>
        <v/>
      </c>
      <c r="X149" s="46">
        <f>IF(OR($A149="",$H149=""),"",IF(AND($H149=1,T149=1),"TA",IF(AND($H149=0,T149=1),"FA",IF($H149=1,"FR","TR"))))</f>
        <v/>
      </c>
      <c r="Y149" s="46">
        <f>IF(OR($A149="",$H149=""),"",IF(AND($H149=1,U149=1),"TA",IF(AND($H149=0,U149=1),"FA",IF($H149=1,"FR","TR"))))</f>
        <v/>
      </c>
    </row>
    <row r="150" ht="15" customHeight="1" s="28">
      <c r="A150" s="54" t="n"/>
      <c r="B150" s="54" t="n"/>
      <c r="C150" s="54" t="n"/>
      <c r="D150" s="54" t="n"/>
      <c r="E150" s="54" t="n"/>
      <c r="F150" s="54" t="n"/>
      <c r="G150" s="54" t="n"/>
      <c r="H150" s="54" t="n"/>
      <c r="I150" s="54" t="n"/>
      <c r="J150" s="54" t="n"/>
      <c r="K150" s="54" t="n"/>
      <c r="L150" s="54" t="n"/>
      <c r="M150" s="46">
        <f>IF($A150="","",LOWER(TRIM(SUBSTITUTE(SUBSTITUTE(SUBSTITUTE(SUBSTITUTE(SUBSTITUTE(SUBSTITUTE(SUBSTITUTE(SUBSTITUTE(SUBSTITUTE(SUBSTITUTE(SUBSTITUTE(C150,".",""),",",""),";",""),":",""),"!",""),"?",""),"""",""),"'",""),"’",""),"“",""),"”",""))))</f>
        <v/>
      </c>
      <c r="N150" s="46">
        <f>IF($A150="","",SUBSTITUTE(SUBSTITUTE(LOWER(TRIM(SUBSTITUTE(SUBSTITUTE(SUBSTITUTE(SUBSTITUTE(SUBSTITUTE(SUBSTITUTE(SUBSTITUTE(SUBSTITUTE(SUBSTITUTE(SUBSTITUTE(SUBSTITUTE(D150,".",""),",",""),";",""),":",""),"!",""),"?",""),"""",""),"'",""),"’",""),"“",""),"”","")))," |","|"),"| ","|"))</f>
        <v/>
      </c>
      <c r="O150" s="46">
        <f>IF($A150="","",LOWER(TRIM(SUBSTITUTE(SUBSTITUTE(SUBSTITUTE(SUBSTITUTE(SUBSTITUTE(SUBSTITUTE(SUBSTITUTE(SUBSTITUTE(SUBSTITUTE(SUBSTITUTE(SUBSTITUTE(E150,".",""),",",""),";",""),":",""),"!",""),"?",""),"""",""),"'",""),"’",""),"“",""),"”",""))))</f>
        <v/>
      </c>
      <c r="P150" s="46">
        <f>IF($A150="","",LOWER(TRIM(SUBSTITUTE(SUBSTITUTE(SUBSTITUTE(SUBSTITUTE(SUBSTITUTE(SUBSTITUTE(SUBSTITUTE(SUBSTITUTE(SUBSTITUTE(SUBSTITUTE(SUBSTITUTE(F150,".",""),",",""),";",""),":",""),"!",""),"?",""),"""",""),"'",""),"’",""),"“",""),"”",""))))</f>
        <v/>
      </c>
      <c r="Q150" s="46">
        <f>IF($A150="","",LOWER(TRIM(SUBSTITUTE(SUBSTITUTE(SUBSTITUTE(SUBSTITUTE(SUBSTITUTE(SUBSTITUTE(SUBSTITUTE(SUBSTITUTE(SUBSTITUTE(SUBSTITUTE(SUBSTITUTE(G150,".",""),",",""),";",""),":",""),"!",""),"?",""),"""",""),"'",""),"’",""),"“",""),"”",""))))</f>
        <v/>
      </c>
      <c r="R150" s="46">
        <f>IF($A150="","",LEN(O150))</f>
        <v/>
      </c>
      <c r="S150" s="46">
        <f>IF($A150="","",IF(O150="",0,LEN(O150)-LEN(SUBSTITUTE(O150," ",""))+1))</f>
        <v/>
      </c>
      <c r="T150" s="46">
        <f>IF($A150="","",IF(AND(O150&lt;&gt;"",OR(O150=M150,AND(N150&lt;&gt;"",ISNUMBER(FIND("|"&amp;O150&amp;"|","|"&amp;N150&amp;"|"))))),1,0))</f>
        <v/>
      </c>
      <c r="U150" s="46">
        <f>IF($A150="","",IF(AND(Q150&lt;&gt;"",OR(Q150=M150,AND(N150&lt;&gt;"",ISNUMBER(FIND("|"&amp;Q150&amp;"|","|"&amp;N150&amp;"|"))))),1,0))</f>
        <v/>
      </c>
      <c r="V150" s="46">
        <f>IF($A150="","",IF(P150=O150,1,0))</f>
        <v/>
      </c>
      <c r="W150" s="46">
        <f>IF($A150="","",IF(Q150=O150,1,0))</f>
        <v/>
      </c>
      <c r="X150" s="46">
        <f>IF(OR($A150="",$H150=""),"",IF(AND($H150=1,T150=1),"TA",IF(AND($H150=0,T150=1),"FA",IF($H150=1,"FR","TR"))))</f>
        <v/>
      </c>
      <c r="Y150" s="46">
        <f>IF(OR($A150="",$H150=""),"",IF(AND($H150=1,U150=1),"TA",IF(AND($H150=0,U150=1),"FA",IF($H150=1,"FR","TR"))))</f>
        <v/>
      </c>
    </row>
    <row r="151" ht="15" customHeight="1" s="28">
      <c r="A151" s="54" t="n"/>
      <c r="B151" s="54" t="n"/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54" t="n"/>
      <c r="L151" s="54" t="n"/>
      <c r="M151" s="46">
        <f>IF($A151="","",LOWER(TRIM(SUBSTITUTE(SUBSTITUTE(SUBSTITUTE(SUBSTITUTE(SUBSTITUTE(SUBSTITUTE(SUBSTITUTE(SUBSTITUTE(SUBSTITUTE(SUBSTITUTE(SUBSTITUTE(C151,".",""),",",""),";",""),":",""),"!",""),"?",""),"""",""),"'",""),"’",""),"“",""),"”",""))))</f>
        <v/>
      </c>
      <c r="N151" s="46">
        <f>IF($A151="","",SUBSTITUTE(SUBSTITUTE(LOWER(TRIM(SUBSTITUTE(SUBSTITUTE(SUBSTITUTE(SUBSTITUTE(SUBSTITUTE(SUBSTITUTE(SUBSTITUTE(SUBSTITUTE(SUBSTITUTE(SUBSTITUTE(SUBSTITUTE(D151,".",""),",",""),";",""),":",""),"!",""),"?",""),"""",""),"'",""),"’",""),"“",""),"”","")))," |","|"),"| ","|"))</f>
        <v/>
      </c>
      <c r="O151" s="46">
        <f>IF($A151="","",LOWER(TRIM(SUBSTITUTE(SUBSTITUTE(SUBSTITUTE(SUBSTITUTE(SUBSTITUTE(SUBSTITUTE(SUBSTITUTE(SUBSTITUTE(SUBSTITUTE(SUBSTITUTE(SUBSTITUTE(E151,".",""),",",""),";",""),":",""),"!",""),"?",""),"""",""),"'",""),"’",""),"“",""),"”",""))))</f>
        <v/>
      </c>
      <c r="P151" s="46">
        <f>IF($A151="","",LOWER(TRIM(SUBSTITUTE(SUBSTITUTE(SUBSTITUTE(SUBSTITUTE(SUBSTITUTE(SUBSTITUTE(SUBSTITUTE(SUBSTITUTE(SUBSTITUTE(SUBSTITUTE(SUBSTITUTE(F151,".",""),",",""),";",""),":",""),"!",""),"?",""),"""",""),"'",""),"’",""),"“",""),"”",""))))</f>
        <v/>
      </c>
      <c r="Q151" s="46">
        <f>IF($A151="","",LOWER(TRIM(SUBSTITUTE(SUBSTITUTE(SUBSTITUTE(SUBSTITUTE(SUBSTITUTE(SUBSTITUTE(SUBSTITUTE(SUBSTITUTE(SUBSTITUTE(SUBSTITUTE(SUBSTITUTE(G151,".",""),",",""),";",""),":",""),"!",""),"?",""),"""",""),"'",""),"’",""),"“",""),"”",""))))</f>
        <v/>
      </c>
      <c r="R151" s="46">
        <f>IF($A151="","",LEN(O151))</f>
        <v/>
      </c>
      <c r="S151" s="46">
        <f>IF($A151="","",IF(O151="",0,LEN(O151)-LEN(SUBSTITUTE(O151," ",""))+1))</f>
        <v/>
      </c>
      <c r="T151" s="46">
        <f>IF($A151="","",IF(AND(O151&lt;&gt;"",OR(O151=M151,AND(N151&lt;&gt;"",ISNUMBER(FIND("|"&amp;O151&amp;"|","|"&amp;N151&amp;"|"))))),1,0))</f>
        <v/>
      </c>
      <c r="U151" s="46">
        <f>IF($A151="","",IF(AND(Q151&lt;&gt;"",OR(Q151=M151,AND(N151&lt;&gt;"",ISNUMBER(FIND("|"&amp;Q151&amp;"|","|"&amp;N151&amp;"|"))))),1,0))</f>
        <v/>
      </c>
      <c r="V151" s="46">
        <f>IF($A151="","",IF(P151=O151,1,0))</f>
        <v/>
      </c>
      <c r="W151" s="46">
        <f>IF($A151="","",IF(Q151=O151,1,0))</f>
        <v/>
      </c>
      <c r="X151" s="46">
        <f>IF(OR($A151="",$H151=""),"",IF(AND($H151=1,T151=1),"TA",IF(AND($H151=0,T151=1),"FA",IF($H151=1,"FR","TR"))))</f>
        <v/>
      </c>
      <c r="Y151" s="46">
        <f>IF(OR($A151="",$H151=""),"",IF(AND($H151=1,U151=1),"TA",IF(AND($H151=0,U151=1),"FA",IF($H151=1,"FR","TR"))))</f>
        <v/>
      </c>
    </row>
    <row r="152" ht="15" customHeight="1" s="28">
      <c r="A152" s="54" t="n"/>
      <c r="B152" s="54" t="n"/>
      <c r="C152" s="54" t="n"/>
      <c r="D152" s="54" t="n"/>
      <c r="E152" s="54" t="n"/>
      <c r="F152" s="54" t="n"/>
      <c r="G152" s="54" t="n"/>
      <c r="H152" s="54" t="n"/>
      <c r="I152" s="54" t="n"/>
      <c r="J152" s="54" t="n"/>
      <c r="K152" s="54" t="n"/>
      <c r="L152" s="54" t="n"/>
      <c r="M152" s="46">
        <f>IF($A152="","",LOWER(TRIM(SUBSTITUTE(SUBSTITUTE(SUBSTITUTE(SUBSTITUTE(SUBSTITUTE(SUBSTITUTE(SUBSTITUTE(SUBSTITUTE(SUBSTITUTE(SUBSTITUTE(SUBSTITUTE(C152,".",""),",",""),";",""),":",""),"!",""),"?",""),"""",""),"'",""),"’",""),"“",""),"”",""))))</f>
        <v/>
      </c>
      <c r="N152" s="46">
        <f>IF($A152="","",SUBSTITUTE(SUBSTITUTE(LOWER(TRIM(SUBSTITUTE(SUBSTITUTE(SUBSTITUTE(SUBSTITUTE(SUBSTITUTE(SUBSTITUTE(SUBSTITUTE(SUBSTITUTE(SUBSTITUTE(SUBSTITUTE(SUBSTITUTE(D152,".",""),",",""),";",""),":",""),"!",""),"?",""),"""",""),"'",""),"’",""),"“",""),"”","")))," |","|"),"| ","|"))</f>
        <v/>
      </c>
      <c r="O152" s="46">
        <f>IF($A152="","",LOWER(TRIM(SUBSTITUTE(SUBSTITUTE(SUBSTITUTE(SUBSTITUTE(SUBSTITUTE(SUBSTITUTE(SUBSTITUTE(SUBSTITUTE(SUBSTITUTE(SUBSTITUTE(SUBSTITUTE(E152,".",""),",",""),";",""),":",""),"!",""),"?",""),"""",""),"'",""),"’",""),"“",""),"”",""))))</f>
        <v/>
      </c>
      <c r="P152" s="46">
        <f>IF($A152="","",LOWER(TRIM(SUBSTITUTE(SUBSTITUTE(SUBSTITUTE(SUBSTITUTE(SUBSTITUTE(SUBSTITUTE(SUBSTITUTE(SUBSTITUTE(SUBSTITUTE(SUBSTITUTE(SUBSTITUTE(F152,".",""),",",""),";",""),":",""),"!",""),"?",""),"""",""),"'",""),"’",""),"“",""),"”",""))))</f>
        <v/>
      </c>
      <c r="Q152" s="46">
        <f>IF($A152="","",LOWER(TRIM(SUBSTITUTE(SUBSTITUTE(SUBSTITUTE(SUBSTITUTE(SUBSTITUTE(SUBSTITUTE(SUBSTITUTE(SUBSTITUTE(SUBSTITUTE(SUBSTITUTE(SUBSTITUTE(G152,".",""),",",""),";",""),":",""),"!",""),"?",""),"""",""),"'",""),"’",""),"“",""),"”",""))))</f>
        <v/>
      </c>
      <c r="R152" s="46">
        <f>IF($A152="","",LEN(O152))</f>
        <v/>
      </c>
      <c r="S152" s="46">
        <f>IF($A152="","",IF(O152="",0,LEN(O152)-LEN(SUBSTITUTE(O152," ",""))+1))</f>
        <v/>
      </c>
      <c r="T152" s="46">
        <f>IF($A152="","",IF(AND(O152&lt;&gt;"",OR(O152=M152,AND(N152&lt;&gt;"",ISNUMBER(FIND("|"&amp;O152&amp;"|","|"&amp;N152&amp;"|"))))),1,0))</f>
        <v/>
      </c>
      <c r="U152" s="46">
        <f>IF($A152="","",IF(AND(Q152&lt;&gt;"",OR(Q152=M152,AND(N152&lt;&gt;"",ISNUMBER(FIND("|"&amp;Q152&amp;"|","|"&amp;N152&amp;"|"))))),1,0))</f>
        <v/>
      </c>
      <c r="V152" s="46">
        <f>IF($A152="","",IF(P152=O152,1,0))</f>
        <v/>
      </c>
      <c r="W152" s="46">
        <f>IF($A152="","",IF(Q152=O152,1,0))</f>
        <v/>
      </c>
      <c r="X152" s="46">
        <f>IF(OR($A152="",$H152=""),"",IF(AND($H152=1,T152=1),"TA",IF(AND($H152=0,T152=1),"FA",IF($H152=1,"FR","TR"))))</f>
        <v/>
      </c>
      <c r="Y152" s="46">
        <f>IF(OR($A152="",$H152=""),"",IF(AND($H152=1,U152=1),"TA",IF(AND($H152=0,U152=1),"FA",IF($H152=1,"FR","TR"))))</f>
        <v/>
      </c>
    </row>
    <row r="153" ht="15" customHeight="1" s="28">
      <c r="A153" s="54" t="n"/>
      <c r="B153" s="54" t="n"/>
      <c r="C153" s="54" t="n"/>
      <c r="D153" s="54" t="n"/>
      <c r="E153" s="54" t="n"/>
      <c r="F153" s="54" t="n"/>
      <c r="G153" s="54" t="n"/>
      <c r="H153" s="54" t="n"/>
      <c r="I153" s="54" t="n"/>
      <c r="J153" s="54" t="n"/>
      <c r="K153" s="54" t="n"/>
      <c r="L153" s="54" t="n"/>
      <c r="M153" s="46">
        <f>IF($A153="","",LOWER(TRIM(SUBSTITUTE(SUBSTITUTE(SUBSTITUTE(SUBSTITUTE(SUBSTITUTE(SUBSTITUTE(SUBSTITUTE(SUBSTITUTE(SUBSTITUTE(SUBSTITUTE(SUBSTITUTE(C153,".",""),",",""),";",""),":",""),"!",""),"?",""),"""",""),"'",""),"’",""),"“",""),"”",""))))</f>
        <v/>
      </c>
      <c r="N153" s="46">
        <f>IF($A153="","",SUBSTITUTE(SUBSTITUTE(LOWER(TRIM(SUBSTITUTE(SUBSTITUTE(SUBSTITUTE(SUBSTITUTE(SUBSTITUTE(SUBSTITUTE(SUBSTITUTE(SUBSTITUTE(SUBSTITUTE(SUBSTITUTE(SUBSTITUTE(D153,".",""),",",""),";",""),":",""),"!",""),"?",""),"""",""),"'",""),"’",""),"“",""),"”","")))," |","|"),"| ","|"))</f>
        <v/>
      </c>
      <c r="O153" s="46">
        <f>IF($A153="","",LOWER(TRIM(SUBSTITUTE(SUBSTITUTE(SUBSTITUTE(SUBSTITUTE(SUBSTITUTE(SUBSTITUTE(SUBSTITUTE(SUBSTITUTE(SUBSTITUTE(SUBSTITUTE(SUBSTITUTE(E153,".",""),",",""),";",""),":",""),"!",""),"?",""),"""",""),"'",""),"’",""),"“",""),"”",""))))</f>
        <v/>
      </c>
      <c r="P153" s="46">
        <f>IF($A153="","",LOWER(TRIM(SUBSTITUTE(SUBSTITUTE(SUBSTITUTE(SUBSTITUTE(SUBSTITUTE(SUBSTITUTE(SUBSTITUTE(SUBSTITUTE(SUBSTITUTE(SUBSTITUTE(SUBSTITUTE(F153,".",""),",",""),";",""),":",""),"!",""),"?",""),"""",""),"'",""),"’",""),"“",""),"”",""))))</f>
        <v/>
      </c>
      <c r="Q153" s="46">
        <f>IF($A153="","",LOWER(TRIM(SUBSTITUTE(SUBSTITUTE(SUBSTITUTE(SUBSTITUTE(SUBSTITUTE(SUBSTITUTE(SUBSTITUTE(SUBSTITUTE(SUBSTITUTE(SUBSTITUTE(SUBSTITUTE(G153,".",""),",",""),";",""),":",""),"!",""),"?",""),"""",""),"'",""),"’",""),"“",""),"”",""))))</f>
        <v/>
      </c>
      <c r="R153" s="46">
        <f>IF($A153="","",LEN(O153))</f>
        <v/>
      </c>
      <c r="S153" s="46">
        <f>IF($A153="","",IF(O153="",0,LEN(O153)-LEN(SUBSTITUTE(O153," ",""))+1))</f>
        <v/>
      </c>
      <c r="T153" s="46">
        <f>IF($A153="","",IF(AND(O153&lt;&gt;"",OR(O153=M153,AND(N153&lt;&gt;"",ISNUMBER(FIND("|"&amp;O153&amp;"|","|"&amp;N153&amp;"|"))))),1,0))</f>
        <v/>
      </c>
      <c r="U153" s="46">
        <f>IF($A153="","",IF(AND(Q153&lt;&gt;"",OR(Q153=M153,AND(N153&lt;&gt;"",ISNUMBER(FIND("|"&amp;Q153&amp;"|","|"&amp;N153&amp;"|"))))),1,0))</f>
        <v/>
      </c>
      <c r="V153" s="46">
        <f>IF($A153="","",IF(P153=O153,1,0))</f>
        <v/>
      </c>
      <c r="W153" s="46">
        <f>IF($A153="","",IF(Q153=O153,1,0))</f>
        <v/>
      </c>
      <c r="X153" s="46">
        <f>IF(OR($A153="",$H153=""),"",IF(AND($H153=1,T153=1),"TA",IF(AND($H153=0,T153=1),"FA",IF($H153=1,"FR","TR"))))</f>
        <v/>
      </c>
      <c r="Y153" s="46">
        <f>IF(OR($A153="",$H153=""),"",IF(AND($H153=1,U153=1),"TA",IF(AND($H153=0,U153=1),"FA",IF($H153=1,"FR","TR"))))</f>
        <v/>
      </c>
    </row>
    <row r="154" ht="15" customHeight="1" s="28">
      <c r="A154" s="54" t="n"/>
      <c r="B154" s="54" t="n"/>
      <c r="C154" s="54" t="n"/>
      <c r="D154" s="54" t="n"/>
      <c r="E154" s="54" t="n"/>
      <c r="F154" s="54" t="n"/>
      <c r="G154" s="54" t="n"/>
      <c r="H154" s="54" t="n"/>
      <c r="I154" s="54" t="n"/>
      <c r="J154" s="54" t="n"/>
      <c r="K154" s="54" t="n"/>
      <c r="L154" s="54" t="n"/>
      <c r="M154" s="46">
        <f>IF($A154="","",LOWER(TRIM(SUBSTITUTE(SUBSTITUTE(SUBSTITUTE(SUBSTITUTE(SUBSTITUTE(SUBSTITUTE(SUBSTITUTE(SUBSTITUTE(SUBSTITUTE(SUBSTITUTE(SUBSTITUTE(C154,".",""),",",""),";",""),":",""),"!",""),"?",""),"""",""),"'",""),"’",""),"“",""),"”",""))))</f>
        <v/>
      </c>
      <c r="N154" s="46">
        <f>IF($A154="","",SUBSTITUTE(SUBSTITUTE(LOWER(TRIM(SUBSTITUTE(SUBSTITUTE(SUBSTITUTE(SUBSTITUTE(SUBSTITUTE(SUBSTITUTE(SUBSTITUTE(SUBSTITUTE(SUBSTITUTE(SUBSTITUTE(SUBSTITUTE(D154,".",""),",",""),";",""),":",""),"!",""),"?",""),"""",""),"'",""),"’",""),"“",""),"”","")))," |","|"),"| ","|"))</f>
        <v/>
      </c>
      <c r="O154" s="46">
        <f>IF($A154="","",LOWER(TRIM(SUBSTITUTE(SUBSTITUTE(SUBSTITUTE(SUBSTITUTE(SUBSTITUTE(SUBSTITUTE(SUBSTITUTE(SUBSTITUTE(SUBSTITUTE(SUBSTITUTE(SUBSTITUTE(E154,".",""),",",""),";",""),":",""),"!",""),"?",""),"""",""),"'",""),"’",""),"“",""),"”",""))))</f>
        <v/>
      </c>
      <c r="P154" s="46">
        <f>IF($A154="","",LOWER(TRIM(SUBSTITUTE(SUBSTITUTE(SUBSTITUTE(SUBSTITUTE(SUBSTITUTE(SUBSTITUTE(SUBSTITUTE(SUBSTITUTE(SUBSTITUTE(SUBSTITUTE(SUBSTITUTE(F154,".",""),",",""),";",""),":",""),"!",""),"?",""),"""",""),"'",""),"’",""),"“",""),"”",""))))</f>
        <v/>
      </c>
      <c r="Q154" s="46">
        <f>IF($A154="","",LOWER(TRIM(SUBSTITUTE(SUBSTITUTE(SUBSTITUTE(SUBSTITUTE(SUBSTITUTE(SUBSTITUTE(SUBSTITUTE(SUBSTITUTE(SUBSTITUTE(SUBSTITUTE(SUBSTITUTE(G154,".",""),",",""),";",""),":",""),"!",""),"?",""),"""",""),"'",""),"’",""),"“",""),"”",""))))</f>
        <v/>
      </c>
      <c r="R154" s="46">
        <f>IF($A154="","",LEN(O154))</f>
        <v/>
      </c>
      <c r="S154" s="46">
        <f>IF($A154="","",IF(O154="",0,LEN(O154)-LEN(SUBSTITUTE(O154," ",""))+1))</f>
        <v/>
      </c>
      <c r="T154" s="46">
        <f>IF($A154="","",IF(AND(O154&lt;&gt;"",OR(O154=M154,AND(N154&lt;&gt;"",ISNUMBER(FIND("|"&amp;O154&amp;"|","|"&amp;N154&amp;"|"))))),1,0))</f>
        <v/>
      </c>
      <c r="U154" s="46">
        <f>IF($A154="","",IF(AND(Q154&lt;&gt;"",OR(Q154=M154,AND(N154&lt;&gt;"",ISNUMBER(FIND("|"&amp;Q154&amp;"|","|"&amp;N154&amp;"|"))))),1,0))</f>
        <v/>
      </c>
      <c r="V154" s="46">
        <f>IF($A154="","",IF(P154=O154,1,0))</f>
        <v/>
      </c>
      <c r="W154" s="46">
        <f>IF($A154="","",IF(Q154=O154,1,0))</f>
        <v/>
      </c>
      <c r="X154" s="46">
        <f>IF(OR($A154="",$H154=""),"",IF(AND($H154=1,T154=1),"TA",IF(AND($H154=0,T154=1),"FA",IF($H154=1,"FR","TR"))))</f>
        <v/>
      </c>
      <c r="Y154" s="46">
        <f>IF(OR($A154="",$H154=""),"",IF(AND($H154=1,U154=1),"TA",IF(AND($H154=0,U154=1),"FA",IF($H154=1,"FR","TR"))))</f>
        <v/>
      </c>
    </row>
    <row r="155" ht="15" customHeight="1" s="28">
      <c r="A155" s="54" t="n"/>
      <c r="B155" s="54" t="n"/>
      <c r="C155" s="54" t="n"/>
      <c r="D155" s="54" t="n"/>
      <c r="E155" s="54" t="n"/>
      <c r="F155" s="54" t="n"/>
      <c r="G155" s="54" t="n"/>
      <c r="H155" s="54" t="n"/>
      <c r="I155" s="54" t="n"/>
      <c r="J155" s="54" t="n"/>
      <c r="K155" s="54" t="n"/>
      <c r="L155" s="54" t="n"/>
      <c r="M155" s="46">
        <f>IF($A155="","",LOWER(TRIM(SUBSTITUTE(SUBSTITUTE(SUBSTITUTE(SUBSTITUTE(SUBSTITUTE(SUBSTITUTE(SUBSTITUTE(SUBSTITUTE(SUBSTITUTE(SUBSTITUTE(SUBSTITUTE(C155,".",""),",",""),";",""),":",""),"!",""),"?",""),"""",""),"'",""),"’",""),"“",""),"”",""))))</f>
        <v/>
      </c>
      <c r="N155" s="46">
        <f>IF($A155="","",SUBSTITUTE(SUBSTITUTE(LOWER(TRIM(SUBSTITUTE(SUBSTITUTE(SUBSTITUTE(SUBSTITUTE(SUBSTITUTE(SUBSTITUTE(SUBSTITUTE(SUBSTITUTE(SUBSTITUTE(SUBSTITUTE(SUBSTITUTE(D155,".",""),",",""),";",""),":",""),"!",""),"?",""),"""",""),"'",""),"’",""),"“",""),"”","")))," |","|"),"| ","|"))</f>
        <v/>
      </c>
      <c r="O155" s="46">
        <f>IF($A155="","",LOWER(TRIM(SUBSTITUTE(SUBSTITUTE(SUBSTITUTE(SUBSTITUTE(SUBSTITUTE(SUBSTITUTE(SUBSTITUTE(SUBSTITUTE(SUBSTITUTE(SUBSTITUTE(SUBSTITUTE(E155,".",""),",",""),";",""),":",""),"!",""),"?",""),"""",""),"'",""),"’",""),"“",""),"”",""))))</f>
        <v/>
      </c>
      <c r="P155" s="46">
        <f>IF($A155="","",LOWER(TRIM(SUBSTITUTE(SUBSTITUTE(SUBSTITUTE(SUBSTITUTE(SUBSTITUTE(SUBSTITUTE(SUBSTITUTE(SUBSTITUTE(SUBSTITUTE(SUBSTITUTE(SUBSTITUTE(F155,".",""),",",""),";",""),":",""),"!",""),"?",""),"""",""),"'",""),"’",""),"“",""),"”",""))))</f>
        <v/>
      </c>
      <c r="Q155" s="46">
        <f>IF($A155="","",LOWER(TRIM(SUBSTITUTE(SUBSTITUTE(SUBSTITUTE(SUBSTITUTE(SUBSTITUTE(SUBSTITUTE(SUBSTITUTE(SUBSTITUTE(SUBSTITUTE(SUBSTITUTE(SUBSTITUTE(G155,".",""),",",""),";",""),":",""),"!",""),"?",""),"""",""),"'",""),"’",""),"“",""),"”",""))))</f>
        <v/>
      </c>
      <c r="R155" s="46">
        <f>IF($A155="","",LEN(O155))</f>
        <v/>
      </c>
      <c r="S155" s="46">
        <f>IF($A155="","",IF(O155="",0,LEN(O155)-LEN(SUBSTITUTE(O155," ",""))+1))</f>
        <v/>
      </c>
      <c r="T155" s="46">
        <f>IF($A155="","",IF(AND(O155&lt;&gt;"",OR(O155=M155,AND(N155&lt;&gt;"",ISNUMBER(FIND("|"&amp;O155&amp;"|","|"&amp;N155&amp;"|"))))),1,0))</f>
        <v/>
      </c>
      <c r="U155" s="46">
        <f>IF($A155="","",IF(AND(Q155&lt;&gt;"",OR(Q155=M155,AND(N155&lt;&gt;"",ISNUMBER(FIND("|"&amp;Q155&amp;"|","|"&amp;N155&amp;"|"))))),1,0))</f>
        <v/>
      </c>
      <c r="V155" s="46">
        <f>IF($A155="","",IF(P155=O155,1,0))</f>
        <v/>
      </c>
      <c r="W155" s="46">
        <f>IF($A155="","",IF(Q155=O155,1,0))</f>
        <v/>
      </c>
      <c r="X155" s="46">
        <f>IF(OR($A155="",$H155=""),"",IF(AND($H155=1,T155=1),"TA",IF(AND($H155=0,T155=1),"FA",IF($H155=1,"FR","TR"))))</f>
        <v/>
      </c>
      <c r="Y155" s="46">
        <f>IF(OR($A155="",$H155=""),"",IF(AND($H155=1,U155=1),"TA",IF(AND($H155=0,U155=1),"FA",IF($H155=1,"FR","TR"))))</f>
        <v/>
      </c>
    </row>
    <row r="156" ht="15" customHeight="1" s="28">
      <c r="A156" s="54" t="n"/>
      <c r="B156" s="54" t="n"/>
      <c r="C156" s="54" t="n"/>
      <c r="D156" s="54" t="n"/>
      <c r="E156" s="54" t="n"/>
      <c r="F156" s="54" t="n"/>
      <c r="G156" s="54" t="n"/>
      <c r="H156" s="54" t="n"/>
      <c r="I156" s="54" t="n"/>
      <c r="J156" s="54" t="n"/>
      <c r="K156" s="54" t="n"/>
      <c r="L156" s="54" t="n"/>
      <c r="M156" s="46">
        <f>IF($A156="","",LOWER(TRIM(SUBSTITUTE(SUBSTITUTE(SUBSTITUTE(SUBSTITUTE(SUBSTITUTE(SUBSTITUTE(SUBSTITUTE(SUBSTITUTE(SUBSTITUTE(SUBSTITUTE(SUBSTITUTE(C156,".",""),",",""),";",""),":",""),"!",""),"?",""),"""",""),"'",""),"’",""),"“",""),"”",""))))</f>
        <v/>
      </c>
      <c r="N156" s="46">
        <f>IF($A156="","",SUBSTITUTE(SUBSTITUTE(LOWER(TRIM(SUBSTITUTE(SUBSTITUTE(SUBSTITUTE(SUBSTITUTE(SUBSTITUTE(SUBSTITUTE(SUBSTITUTE(SUBSTITUTE(SUBSTITUTE(SUBSTITUTE(SUBSTITUTE(D156,".",""),",",""),";",""),":",""),"!",""),"?",""),"""",""),"'",""),"’",""),"“",""),"”","")))," |","|"),"| ","|"))</f>
        <v/>
      </c>
      <c r="O156" s="46">
        <f>IF($A156="","",LOWER(TRIM(SUBSTITUTE(SUBSTITUTE(SUBSTITUTE(SUBSTITUTE(SUBSTITUTE(SUBSTITUTE(SUBSTITUTE(SUBSTITUTE(SUBSTITUTE(SUBSTITUTE(SUBSTITUTE(E156,".",""),",",""),";",""),":",""),"!",""),"?",""),"""",""),"'",""),"’",""),"“",""),"”",""))))</f>
        <v/>
      </c>
      <c r="P156" s="46">
        <f>IF($A156="","",LOWER(TRIM(SUBSTITUTE(SUBSTITUTE(SUBSTITUTE(SUBSTITUTE(SUBSTITUTE(SUBSTITUTE(SUBSTITUTE(SUBSTITUTE(SUBSTITUTE(SUBSTITUTE(SUBSTITUTE(F156,".",""),",",""),";",""),":",""),"!",""),"?",""),"""",""),"'",""),"’",""),"“",""),"”",""))))</f>
        <v/>
      </c>
      <c r="Q156" s="46">
        <f>IF($A156="","",LOWER(TRIM(SUBSTITUTE(SUBSTITUTE(SUBSTITUTE(SUBSTITUTE(SUBSTITUTE(SUBSTITUTE(SUBSTITUTE(SUBSTITUTE(SUBSTITUTE(SUBSTITUTE(SUBSTITUTE(G156,".",""),",",""),";",""),":",""),"!",""),"?",""),"""",""),"'",""),"’",""),"“",""),"”",""))))</f>
        <v/>
      </c>
      <c r="R156" s="46">
        <f>IF($A156="","",LEN(O156))</f>
        <v/>
      </c>
      <c r="S156" s="46">
        <f>IF($A156="","",IF(O156="",0,LEN(O156)-LEN(SUBSTITUTE(O156," ",""))+1))</f>
        <v/>
      </c>
      <c r="T156" s="46">
        <f>IF($A156="","",IF(AND(O156&lt;&gt;"",OR(O156=M156,AND(N156&lt;&gt;"",ISNUMBER(FIND("|"&amp;O156&amp;"|","|"&amp;N156&amp;"|"))))),1,0))</f>
        <v/>
      </c>
      <c r="U156" s="46">
        <f>IF($A156="","",IF(AND(Q156&lt;&gt;"",OR(Q156=M156,AND(N156&lt;&gt;"",ISNUMBER(FIND("|"&amp;Q156&amp;"|","|"&amp;N156&amp;"|"))))),1,0))</f>
        <v/>
      </c>
      <c r="V156" s="46">
        <f>IF($A156="","",IF(P156=O156,1,0))</f>
        <v/>
      </c>
      <c r="W156" s="46">
        <f>IF($A156="","",IF(Q156=O156,1,0))</f>
        <v/>
      </c>
      <c r="X156" s="46">
        <f>IF(OR($A156="",$H156=""),"",IF(AND($H156=1,T156=1),"TA",IF(AND($H156=0,T156=1),"FA",IF($H156=1,"FR","TR"))))</f>
        <v/>
      </c>
      <c r="Y156" s="46">
        <f>IF(OR($A156="",$H156=""),"",IF(AND($H156=1,U156=1),"TA",IF(AND($H156=0,U156=1),"FA",IF($H156=1,"FR","TR"))))</f>
        <v/>
      </c>
    </row>
    <row r="157" ht="15" customHeight="1" s="28">
      <c r="A157" s="54" t="n"/>
      <c r="B157" s="54" t="n"/>
      <c r="C157" s="54" t="n"/>
      <c r="D157" s="54" t="n"/>
      <c r="E157" s="54" t="n"/>
      <c r="F157" s="54" t="n"/>
      <c r="G157" s="54" t="n"/>
      <c r="H157" s="54" t="n"/>
      <c r="I157" s="54" t="n"/>
      <c r="J157" s="54" t="n"/>
      <c r="K157" s="54" t="n"/>
      <c r="L157" s="54" t="n"/>
      <c r="M157" s="46">
        <f>IF($A157="","",LOWER(TRIM(SUBSTITUTE(SUBSTITUTE(SUBSTITUTE(SUBSTITUTE(SUBSTITUTE(SUBSTITUTE(SUBSTITUTE(SUBSTITUTE(SUBSTITUTE(SUBSTITUTE(SUBSTITUTE(C157,".",""),",",""),";",""),":",""),"!",""),"?",""),"""",""),"'",""),"’",""),"“",""),"”",""))))</f>
        <v/>
      </c>
      <c r="N157" s="46">
        <f>IF($A157="","",SUBSTITUTE(SUBSTITUTE(LOWER(TRIM(SUBSTITUTE(SUBSTITUTE(SUBSTITUTE(SUBSTITUTE(SUBSTITUTE(SUBSTITUTE(SUBSTITUTE(SUBSTITUTE(SUBSTITUTE(SUBSTITUTE(SUBSTITUTE(D157,".",""),",",""),";",""),":",""),"!",""),"?",""),"""",""),"'",""),"’",""),"“",""),"”","")))," |","|"),"| ","|"))</f>
        <v/>
      </c>
      <c r="O157" s="46">
        <f>IF($A157="","",LOWER(TRIM(SUBSTITUTE(SUBSTITUTE(SUBSTITUTE(SUBSTITUTE(SUBSTITUTE(SUBSTITUTE(SUBSTITUTE(SUBSTITUTE(SUBSTITUTE(SUBSTITUTE(SUBSTITUTE(E157,".",""),",",""),";",""),":",""),"!",""),"?",""),"""",""),"'",""),"’",""),"“",""),"”",""))))</f>
        <v/>
      </c>
      <c r="P157" s="46">
        <f>IF($A157="","",LOWER(TRIM(SUBSTITUTE(SUBSTITUTE(SUBSTITUTE(SUBSTITUTE(SUBSTITUTE(SUBSTITUTE(SUBSTITUTE(SUBSTITUTE(SUBSTITUTE(SUBSTITUTE(SUBSTITUTE(F157,".",""),",",""),";",""),":",""),"!",""),"?",""),"""",""),"'",""),"’",""),"“",""),"”",""))))</f>
        <v/>
      </c>
      <c r="Q157" s="46">
        <f>IF($A157="","",LOWER(TRIM(SUBSTITUTE(SUBSTITUTE(SUBSTITUTE(SUBSTITUTE(SUBSTITUTE(SUBSTITUTE(SUBSTITUTE(SUBSTITUTE(SUBSTITUTE(SUBSTITUTE(SUBSTITUTE(G157,".",""),",",""),";",""),":",""),"!",""),"?",""),"""",""),"'",""),"’",""),"“",""),"”",""))))</f>
        <v/>
      </c>
      <c r="R157" s="46">
        <f>IF($A157="","",LEN(O157))</f>
        <v/>
      </c>
      <c r="S157" s="46">
        <f>IF($A157="","",IF(O157="",0,LEN(O157)-LEN(SUBSTITUTE(O157," ",""))+1))</f>
        <v/>
      </c>
      <c r="T157" s="46">
        <f>IF($A157="","",IF(AND(O157&lt;&gt;"",OR(O157=M157,AND(N157&lt;&gt;"",ISNUMBER(FIND("|"&amp;O157&amp;"|","|"&amp;N157&amp;"|"))))),1,0))</f>
        <v/>
      </c>
      <c r="U157" s="46">
        <f>IF($A157="","",IF(AND(Q157&lt;&gt;"",OR(Q157=M157,AND(N157&lt;&gt;"",ISNUMBER(FIND("|"&amp;Q157&amp;"|","|"&amp;N157&amp;"|"))))),1,0))</f>
        <v/>
      </c>
      <c r="V157" s="46">
        <f>IF($A157="","",IF(P157=O157,1,0))</f>
        <v/>
      </c>
      <c r="W157" s="46">
        <f>IF($A157="","",IF(Q157=O157,1,0))</f>
        <v/>
      </c>
      <c r="X157" s="46">
        <f>IF(OR($A157="",$H157=""),"",IF(AND($H157=1,T157=1),"TA",IF(AND($H157=0,T157=1),"FA",IF($H157=1,"FR","TR"))))</f>
        <v/>
      </c>
      <c r="Y157" s="46">
        <f>IF(OR($A157="",$H157=""),"",IF(AND($H157=1,U157=1),"TA",IF(AND($H157=0,U157=1),"FA",IF($H157=1,"FR","TR"))))</f>
        <v/>
      </c>
    </row>
    <row r="158" ht="15" customHeight="1" s="28">
      <c r="A158" s="54" t="n"/>
      <c r="B158" s="54" t="n"/>
      <c r="C158" s="54" t="n"/>
      <c r="D158" s="54" t="n"/>
      <c r="E158" s="54" t="n"/>
      <c r="F158" s="54" t="n"/>
      <c r="G158" s="54" t="n"/>
      <c r="H158" s="54" t="n"/>
      <c r="I158" s="54" t="n"/>
      <c r="J158" s="54" t="n"/>
      <c r="K158" s="54" t="n"/>
      <c r="L158" s="54" t="n"/>
      <c r="M158" s="46">
        <f>IF($A158="","",LOWER(TRIM(SUBSTITUTE(SUBSTITUTE(SUBSTITUTE(SUBSTITUTE(SUBSTITUTE(SUBSTITUTE(SUBSTITUTE(SUBSTITUTE(SUBSTITUTE(SUBSTITUTE(SUBSTITUTE(C158,".",""),",",""),";",""),":",""),"!",""),"?",""),"""",""),"'",""),"’",""),"“",""),"”",""))))</f>
        <v/>
      </c>
      <c r="N158" s="46">
        <f>IF($A158="","",SUBSTITUTE(SUBSTITUTE(LOWER(TRIM(SUBSTITUTE(SUBSTITUTE(SUBSTITUTE(SUBSTITUTE(SUBSTITUTE(SUBSTITUTE(SUBSTITUTE(SUBSTITUTE(SUBSTITUTE(SUBSTITUTE(SUBSTITUTE(D158,".",""),",",""),";",""),":",""),"!",""),"?",""),"""",""),"'",""),"’",""),"“",""),"”","")))," |","|"),"| ","|"))</f>
        <v/>
      </c>
      <c r="O158" s="46">
        <f>IF($A158="","",LOWER(TRIM(SUBSTITUTE(SUBSTITUTE(SUBSTITUTE(SUBSTITUTE(SUBSTITUTE(SUBSTITUTE(SUBSTITUTE(SUBSTITUTE(SUBSTITUTE(SUBSTITUTE(SUBSTITUTE(E158,".",""),",",""),";",""),":",""),"!",""),"?",""),"""",""),"'",""),"’",""),"“",""),"”",""))))</f>
        <v/>
      </c>
      <c r="P158" s="46">
        <f>IF($A158="","",LOWER(TRIM(SUBSTITUTE(SUBSTITUTE(SUBSTITUTE(SUBSTITUTE(SUBSTITUTE(SUBSTITUTE(SUBSTITUTE(SUBSTITUTE(SUBSTITUTE(SUBSTITUTE(SUBSTITUTE(F158,".",""),",",""),";",""),":",""),"!",""),"?",""),"""",""),"'",""),"’",""),"“",""),"”",""))))</f>
        <v/>
      </c>
      <c r="Q158" s="46">
        <f>IF($A158="","",LOWER(TRIM(SUBSTITUTE(SUBSTITUTE(SUBSTITUTE(SUBSTITUTE(SUBSTITUTE(SUBSTITUTE(SUBSTITUTE(SUBSTITUTE(SUBSTITUTE(SUBSTITUTE(SUBSTITUTE(G158,".",""),",",""),";",""),":",""),"!",""),"?",""),"""",""),"'",""),"’",""),"“",""),"”",""))))</f>
        <v/>
      </c>
      <c r="R158" s="46">
        <f>IF($A158="","",LEN(O158))</f>
        <v/>
      </c>
      <c r="S158" s="46">
        <f>IF($A158="","",IF(O158="",0,LEN(O158)-LEN(SUBSTITUTE(O158," ",""))+1))</f>
        <v/>
      </c>
      <c r="T158" s="46">
        <f>IF($A158="","",IF(AND(O158&lt;&gt;"",OR(O158=M158,AND(N158&lt;&gt;"",ISNUMBER(FIND("|"&amp;O158&amp;"|","|"&amp;N158&amp;"|"))))),1,0))</f>
        <v/>
      </c>
      <c r="U158" s="46">
        <f>IF($A158="","",IF(AND(Q158&lt;&gt;"",OR(Q158=M158,AND(N158&lt;&gt;"",ISNUMBER(FIND("|"&amp;Q158&amp;"|","|"&amp;N158&amp;"|"))))),1,0))</f>
        <v/>
      </c>
      <c r="V158" s="46">
        <f>IF($A158="","",IF(P158=O158,1,0))</f>
        <v/>
      </c>
      <c r="W158" s="46">
        <f>IF($A158="","",IF(Q158=O158,1,0))</f>
        <v/>
      </c>
      <c r="X158" s="46">
        <f>IF(OR($A158="",$H158=""),"",IF(AND($H158=1,T158=1),"TA",IF(AND($H158=0,T158=1),"FA",IF($H158=1,"FR","TR"))))</f>
        <v/>
      </c>
      <c r="Y158" s="46">
        <f>IF(OR($A158="",$H158=""),"",IF(AND($H158=1,U158=1),"TA",IF(AND($H158=0,U158=1),"FA",IF($H158=1,"FR","TR"))))</f>
        <v/>
      </c>
    </row>
    <row r="159" ht="15" customHeight="1" s="28">
      <c r="A159" s="54" t="n"/>
      <c r="B159" s="54" t="n"/>
      <c r="C159" s="54" t="n"/>
      <c r="D159" s="54" t="n"/>
      <c r="E159" s="54" t="n"/>
      <c r="F159" s="54" t="n"/>
      <c r="G159" s="54" t="n"/>
      <c r="H159" s="54" t="n"/>
      <c r="I159" s="54" t="n"/>
      <c r="J159" s="54" t="n"/>
      <c r="K159" s="54" t="n"/>
      <c r="L159" s="54" t="n"/>
      <c r="M159" s="46">
        <f>IF($A159="","",LOWER(TRIM(SUBSTITUTE(SUBSTITUTE(SUBSTITUTE(SUBSTITUTE(SUBSTITUTE(SUBSTITUTE(SUBSTITUTE(SUBSTITUTE(SUBSTITUTE(SUBSTITUTE(SUBSTITUTE(C159,".",""),",",""),";",""),":",""),"!",""),"?",""),"""",""),"'",""),"’",""),"“",""),"”",""))))</f>
        <v/>
      </c>
      <c r="N159" s="46">
        <f>IF($A159="","",SUBSTITUTE(SUBSTITUTE(LOWER(TRIM(SUBSTITUTE(SUBSTITUTE(SUBSTITUTE(SUBSTITUTE(SUBSTITUTE(SUBSTITUTE(SUBSTITUTE(SUBSTITUTE(SUBSTITUTE(SUBSTITUTE(SUBSTITUTE(D159,".",""),",",""),";",""),":",""),"!",""),"?",""),"""",""),"'",""),"’",""),"“",""),"”","")))," |","|"),"| ","|"))</f>
        <v/>
      </c>
      <c r="O159" s="46">
        <f>IF($A159="","",LOWER(TRIM(SUBSTITUTE(SUBSTITUTE(SUBSTITUTE(SUBSTITUTE(SUBSTITUTE(SUBSTITUTE(SUBSTITUTE(SUBSTITUTE(SUBSTITUTE(SUBSTITUTE(SUBSTITUTE(E159,".",""),",",""),";",""),":",""),"!",""),"?",""),"""",""),"'",""),"’",""),"“",""),"”",""))))</f>
        <v/>
      </c>
      <c r="P159" s="46">
        <f>IF($A159="","",LOWER(TRIM(SUBSTITUTE(SUBSTITUTE(SUBSTITUTE(SUBSTITUTE(SUBSTITUTE(SUBSTITUTE(SUBSTITUTE(SUBSTITUTE(SUBSTITUTE(SUBSTITUTE(SUBSTITUTE(F159,".",""),",",""),";",""),":",""),"!",""),"?",""),"""",""),"'",""),"’",""),"“",""),"”",""))))</f>
        <v/>
      </c>
      <c r="Q159" s="46">
        <f>IF($A159="","",LOWER(TRIM(SUBSTITUTE(SUBSTITUTE(SUBSTITUTE(SUBSTITUTE(SUBSTITUTE(SUBSTITUTE(SUBSTITUTE(SUBSTITUTE(SUBSTITUTE(SUBSTITUTE(SUBSTITUTE(G159,".",""),",",""),";",""),":",""),"!",""),"?",""),"""",""),"'",""),"’",""),"“",""),"”",""))))</f>
        <v/>
      </c>
      <c r="R159" s="46">
        <f>IF($A159="","",LEN(O159))</f>
        <v/>
      </c>
      <c r="S159" s="46">
        <f>IF($A159="","",IF(O159="",0,LEN(O159)-LEN(SUBSTITUTE(O159," ",""))+1))</f>
        <v/>
      </c>
      <c r="T159" s="46">
        <f>IF($A159="","",IF(AND(O159&lt;&gt;"",OR(O159=M159,AND(N159&lt;&gt;"",ISNUMBER(FIND("|"&amp;O159&amp;"|","|"&amp;N159&amp;"|"))))),1,0))</f>
        <v/>
      </c>
      <c r="U159" s="46">
        <f>IF($A159="","",IF(AND(Q159&lt;&gt;"",OR(Q159=M159,AND(N159&lt;&gt;"",ISNUMBER(FIND("|"&amp;Q159&amp;"|","|"&amp;N159&amp;"|"))))),1,0))</f>
        <v/>
      </c>
      <c r="V159" s="46">
        <f>IF($A159="","",IF(P159=O159,1,0))</f>
        <v/>
      </c>
      <c r="W159" s="46">
        <f>IF($A159="","",IF(Q159=O159,1,0))</f>
        <v/>
      </c>
      <c r="X159" s="46">
        <f>IF(OR($A159="",$H159=""),"",IF(AND($H159=1,T159=1),"TA",IF(AND($H159=0,T159=1),"FA",IF($H159=1,"FR","TR"))))</f>
        <v/>
      </c>
      <c r="Y159" s="46">
        <f>IF(OR($A159="",$H159=""),"",IF(AND($H159=1,U159=1),"TA",IF(AND($H159=0,U159=1),"FA",IF($H159=1,"FR","TR"))))</f>
        <v/>
      </c>
    </row>
    <row r="160" ht="15" customHeight="1" s="28">
      <c r="A160" s="54" t="n"/>
      <c r="B160" s="54" t="n"/>
      <c r="C160" s="54" t="n"/>
      <c r="D160" s="54" t="n"/>
      <c r="E160" s="54" t="n"/>
      <c r="F160" s="54" t="n"/>
      <c r="G160" s="54" t="n"/>
      <c r="H160" s="54" t="n"/>
      <c r="I160" s="54" t="n"/>
      <c r="J160" s="54" t="n"/>
      <c r="K160" s="54" t="n"/>
      <c r="L160" s="54" t="n"/>
      <c r="M160" s="46">
        <f>IF($A160="","",LOWER(TRIM(SUBSTITUTE(SUBSTITUTE(SUBSTITUTE(SUBSTITUTE(SUBSTITUTE(SUBSTITUTE(SUBSTITUTE(SUBSTITUTE(SUBSTITUTE(SUBSTITUTE(SUBSTITUTE(C160,".",""),",",""),";",""),":",""),"!",""),"?",""),"""",""),"'",""),"’",""),"“",""),"”",""))))</f>
        <v/>
      </c>
      <c r="N160" s="46">
        <f>IF($A160="","",SUBSTITUTE(SUBSTITUTE(LOWER(TRIM(SUBSTITUTE(SUBSTITUTE(SUBSTITUTE(SUBSTITUTE(SUBSTITUTE(SUBSTITUTE(SUBSTITUTE(SUBSTITUTE(SUBSTITUTE(SUBSTITUTE(SUBSTITUTE(D160,".",""),",",""),";",""),":",""),"!",""),"?",""),"""",""),"'",""),"’",""),"“",""),"”","")))," |","|"),"| ","|"))</f>
        <v/>
      </c>
      <c r="O160" s="46">
        <f>IF($A160="","",LOWER(TRIM(SUBSTITUTE(SUBSTITUTE(SUBSTITUTE(SUBSTITUTE(SUBSTITUTE(SUBSTITUTE(SUBSTITUTE(SUBSTITUTE(SUBSTITUTE(SUBSTITUTE(SUBSTITUTE(E160,".",""),",",""),";",""),":",""),"!",""),"?",""),"""",""),"'",""),"’",""),"“",""),"”",""))))</f>
        <v/>
      </c>
      <c r="P160" s="46">
        <f>IF($A160="","",LOWER(TRIM(SUBSTITUTE(SUBSTITUTE(SUBSTITUTE(SUBSTITUTE(SUBSTITUTE(SUBSTITUTE(SUBSTITUTE(SUBSTITUTE(SUBSTITUTE(SUBSTITUTE(SUBSTITUTE(F160,".",""),",",""),";",""),":",""),"!",""),"?",""),"""",""),"'",""),"’",""),"“",""),"”",""))))</f>
        <v/>
      </c>
      <c r="Q160" s="46">
        <f>IF($A160="","",LOWER(TRIM(SUBSTITUTE(SUBSTITUTE(SUBSTITUTE(SUBSTITUTE(SUBSTITUTE(SUBSTITUTE(SUBSTITUTE(SUBSTITUTE(SUBSTITUTE(SUBSTITUTE(SUBSTITUTE(G160,".",""),",",""),";",""),":",""),"!",""),"?",""),"""",""),"'",""),"’",""),"“",""),"”",""))))</f>
        <v/>
      </c>
      <c r="R160" s="46">
        <f>IF($A160="","",LEN(O160))</f>
        <v/>
      </c>
      <c r="S160" s="46">
        <f>IF($A160="","",IF(O160="",0,LEN(O160)-LEN(SUBSTITUTE(O160," ",""))+1))</f>
        <v/>
      </c>
      <c r="T160" s="46">
        <f>IF($A160="","",IF(AND(O160&lt;&gt;"",OR(O160=M160,AND(N160&lt;&gt;"",ISNUMBER(FIND("|"&amp;O160&amp;"|","|"&amp;N160&amp;"|"))))),1,0))</f>
        <v/>
      </c>
      <c r="U160" s="46">
        <f>IF($A160="","",IF(AND(Q160&lt;&gt;"",OR(Q160=M160,AND(N160&lt;&gt;"",ISNUMBER(FIND("|"&amp;Q160&amp;"|","|"&amp;N160&amp;"|"))))),1,0))</f>
        <v/>
      </c>
      <c r="V160" s="46">
        <f>IF($A160="","",IF(P160=O160,1,0))</f>
        <v/>
      </c>
      <c r="W160" s="46">
        <f>IF($A160="","",IF(Q160=O160,1,0))</f>
        <v/>
      </c>
      <c r="X160" s="46">
        <f>IF(OR($A160="",$H160=""),"",IF(AND($H160=1,T160=1),"TA",IF(AND($H160=0,T160=1),"FA",IF($H160=1,"FR","TR"))))</f>
        <v/>
      </c>
      <c r="Y160" s="46">
        <f>IF(OR($A160="",$H160=""),"",IF(AND($H160=1,U160=1),"TA",IF(AND($H160=0,U160=1),"FA",IF($H160=1,"FR","TR"))))</f>
        <v/>
      </c>
    </row>
    <row r="161" ht="15" customHeight="1" s="28">
      <c r="A161" s="54" t="n"/>
      <c r="B161" s="54" t="n"/>
      <c r="C161" s="54" t="n"/>
      <c r="D161" s="54" t="n"/>
      <c r="E161" s="54" t="n"/>
      <c r="F161" s="54" t="n"/>
      <c r="G161" s="54" t="n"/>
      <c r="H161" s="54" t="n"/>
      <c r="I161" s="54" t="n"/>
      <c r="J161" s="54" t="n"/>
      <c r="K161" s="54" t="n"/>
      <c r="L161" s="54" t="n"/>
      <c r="M161" s="46">
        <f>IF($A161="","",LOWER(TRIM(SUBSTITUTE(SUBSTITUTE(SUBSTITUTE(SUBSTITUTE(SUBSTITUTE(SUBSTITUTE(SUBSTITUTE(SUBSTITUTE(SUBSTITUTE(SUBSTITUTE(SUBSTITUTE(C161,".",""),",",""),";",""),":",""),"!",""),"?",""),"""",""),"'",""),"’",""),"“",""),"”",""))))</f>
        <v/>
      </c>
      <c r="N161" s="46">
        <f>IF($A161="","",SUBSTITUTE(SUBSTITUTE(LOWER(TRIM(SUBSTITUTE(SUBSTITUTE(SUBSTITUTE(SUBSTITUTE(SUBSTITUTE(SUBSTITUTE(SUBSTITUTE(SUBSTITUTE(SUBSTITUTE(SUBSTITUTE(SUBSTITUTE(D161,".",""),",",""),";",""),":",""),"!",""),"?",""),"""",""),"'",""),"’",""),"“",""),"”","")))," |","|"),"| ","|"))</f>
        <v/>
      </c>
      <c r="O161" s="46">
        <f>IF($A161="","",LOWER(TRIM(SUBSTITUTE(SUBSTITUTE(SUBSTITUTE(SUBSTITUTE(SUBSTITUTE(SUBSTITUTE(SUBSTITUTE(SUBSTITUTE(SUBSTITUTE(SUBSTITUTE(SUBSTITUTE(E161,".",""),",",""),";",""),":",""),"!",""),"?",""),"""",""),"'",""),"’",""),"“",""),"”",""))))</f>
        <v/>
      </c>
      <c r="P161" s="46">
        <f>IF($A161="","",LOWER(TRIM(SUBSTITUTE(SUBSTITUTE(SUBSTITUTE(SUBSTITUTE(SUBSTITUTE(SUBSTITUTE(SUBSTITUTE(SUBSTITUTE(SUBSTITUTE(SUBSTITUTE(SUBSTITUTE(F161,".",""),",",""),";",""),":",""),"!",""),"?",""),"""",""),"'",""),"’",""),"“",""),"”",""))))</f>
        <v/>
      </c>
      <c r="Q161" s="46">
        <f>IF($A161="","",LOWER(TRIM(SUBSTITUTE(SUBSTITUTE(SUBSTITUTE(SUBSTITUTE(SUBSTITUTE(SUBSTITUTE(SUBSTITUTE(SUBSTITUTE(SUBSTITUTE(SUBSTITUTE(SUBSTITUTE(G161,".",""),",",""),";",""),":",""),"!",""),"?",""),"""",""),"'",""),"’",""),"“",""),"”",""))))</f>
        <v/>
      </c>
      <c r="R161" s="46">
        <f>IF($A161="","",LEN(O161))</f>
        <v/>
      </c>
      <c r="S161" s="46">
        <f>IF($A161="","",IF(O161="",0,LEN(O161)-LEN(SUBSTITUTE(O161," ",""))+1))</f>
        <v/>
      </c>
      <c r="T161" s="46">
        <f>IF($A161="","",IF(AND(O161&lt;&gt;"",OR(O161=M161,AND(N161&lt;&gt;"",ISNUMBER(FIND("|"&amp;O161&amp;"|","|"&amp;N161&amp;"|"))))),1,0))</f>
        <v/>
      </c>
      <c r="U161" s="46">
        <f>IF($A161="","",IF(AND(Q161&lt;&gt;"",OR(Q161=M161,AND(N161&lt;&gt;"",ISNUMBER(FIND("|"&amp;Q161&amp;"|","|"&amp;N161&amp;"|"))))),1,0))</f>
        <v/>
      </c>
      <c r="V161" s="46">
        <f>IF($A161="","",IF(P161=O161,1,0))</f>
        <v/>
      </c>
      <c r="W161" s="46">
        <f>IF($A161="","",IF(Q161=O161,1,0))</f>
        <v/>
      </c>
      <c r="X161" s="46">
        <f>IF(OR($A161="",$H161=""),"",IF(AND($H161=1,T161=1),"TA",IF(AND($H161=0,T161=1),"FA",IF($H161=1,"FR","TR"))))</f>
        <v/>
      </c>
      <c r="Y161" s="46">
        <f>IF(OR($A161="",$H161=""),"",IF(AND($H161=1,U161=1),"TA",IF(AND($H161=0,U161=1),"FA",IF($H161=1,"FR","TR"))))</f>
        <v/>
      </c>
    </row>
    <row r="162" ht="15" customHeight="1" s="28">
      <c r="A162" s="54" t="n"/>
      <c r="B162" s="54" t="n"/>
      <c r="C162" s="54" t="n"/>
      <c r="D162" s="54" t="n"/>
      <c r="E162" s="54" t="n"/>
      <c r="F162" s="54" t="n"/>
      <c r="G162" s="54" t="n"/>
      <c r="H162" s="54" t="n"/>
      <c r="I162" s="54" t="n"/>
      <c r="J162" s="54" t="n"/>
      <c r="K162" s="54" t="n"/>
      <c r="L162" s="54" t="n"/>
      <c r="M162" s="46">
        <f>IF($A162="","",LOWER(TRIM(SUBSTITUTE(SUBSTITUTE(SUBSTITUTE(SUBSTITUTE(SUBSTITUTE(SUBSTITUTE(SUBSTITUTE(SUBSTITUTE(SUBSTITUTE(SUBSTITUTE(SUBSTITUTE(C162,".",""),",",""),";",""),":",""),"!",""),"?",""),"""",""),"'",""),"’",""),"“",""),"”",""))))</f>
        <v/>
      </c>
      <c r="N162" s="46">
        <f>IF($A162="","",SUBSTITUTE(SUBSTITUTE(LOWER(TRIM(SUBSTITUTE(SUBSTITUTE(SUBSTITUTE(SUBSTITUTE(SUBSTITUTE(SUBSTITUTE(SUBSTITUTE(SUBSTITUTE(SUBSTITUTE(SUBSTITUTE(SUBSTITUTE(D162,".",""),",",""),";",""),":",""),"!",""),"?",""),"""",""),"'",""),"’",""),"“",""),"”","")))," |","|"),"| ","|"))</f>
        <v/>
      </c>
      <c r="O162" s="46">
        <f>IF($A162="","",LOWER(TRIM(SUBSTITUTE(SUBSTITUTE(SUBSTITUTE(SUBSTITUTE(SUBSTITUTE(SUBSTITUTE(SUBSTITUTE(SUBSTITUTE(SUBSTITUTE(SUBSTITUTE(SUBSTITUTE(E162,".",""),",",""),";",""),":",""),"!",""),"?",""),"""",""),"'",""),"’",""),"“",""),"”",""))))</f>
        <v/>
      </c>
      <c r="P162" s="46">
        <f>IF($A162="","",LOWER(TRIM(SUBSTITUTE(SUBSTITUTE(SUBSTITUTE(SUBSTITUTE(SUBSTITUTE(SUBSTITUTE(SUBSTITUTE(SUBSTITUTE(SUBSTITUTE(SUBSTITUTE(SUBSTITUTE(F162,".",""),",",""),";",""),":",""),"!",""),"?",""),"""",""),"'",""),"’",""),"“",""),"”",""))))</f>
        <v/>
      </c>
      <c r="Q162" s="46">
        <f>IF($A162="","",LOWER(TRIM(SUBSTITUTE(SUBSTITUTE(SUBSTITUTE(SUBSTITUTE(SUBSTITUTE(SUBSTITUTE(SUBSTITUTE(SUBSTITUTE(SUBSTITUTE(SUBSTITUTE(SUBSTITUTE(G162,".",""),",",""),";",""),":",""),"!",""),"?",""),"""",""),"'",""),"’",""),"“",""),"”",""))))</f>
        <v/>
      </c>
      <c r="R162" s="46">
        <f>IF($A162="","",LEN(O162))</f>
        <v/>
      </c>
      <c r="S162" s="46">
        <f>IF($A162="","",IF(O162="",0,LEN(O162)-LEN(SUBSTITUTE(O162," ",""))+1))</f>
        <v/>
      </c>
      <c r="T162" s="46">
        <f>IF($A162="","",IF(AND(O162&lt;&gt;"",OR(O162=M162,AND(N162&lt;&gt;"",ISNUMBER(FIND("|"&amp;O162&amp;"|","|"&amp;N162&amp;"|"))))),1,0))</f>
        <v/>
      </c>
      <c r="U162" s="46">
        <f>IF($A162="","",IF(AND(Q162&lt;&gt;"",OR(Q162=M162,AND(N162&lt;&gt;"",ISNUMBER(FIND("|"&amp;Q162&amp;"|","|"&amp;N162&amp;"|"))))),1,0))</f>
        <v/>
      </c>
      <c r="V162" s="46">
        <f>IF($A162="","",IF(P162=O162,1,0))</f>
        <v/>
      </c>
      <c r="W162" s="46">
        <f>IF($A162="","",IF(Q162=O162,1,0))</f>
        <v/>
      </c>
      <c r="X162" s="46">
        <f>IF(OR($A162="",$H162=""),"",IF(AND($H162=1,T162=1),"TA",IF(AND($H162=0,T162=1),"FA",IF($H162=1,"FR","TR"))))</f>
        <v/>
      </c>
      <c r="Y162" s="46">
        <f>IF(OR($A162="",$H162=""),"",IF(AND($H162=1,U162=1),"TA",IF(AND($H162=0,U162=1),"FA",IF($H162=1,"FR","TR"))))</f>
        <v/>
      </c>
    </row>
    <row r="163" ht="15" customHeight="1" s="28">
      <c r="A163" s="54" t="n"/>
      <c r="B163" s="54" t="n"/>
      <c r="C163" s="54" t="n"/>
      <c r="D163" s="54" t="n"/>
      <c r="E163" s="54" t="n"/>
      <c r="F163" s="54" t="n"/>
      <c r="G163" s="54" t="n"/>
      <c r="H163" s="54" t="n"/>
      <c r="I163" s="54" t="n"/>
      <c r="J163" s="54" t="n"/>
      <c r="K163" s="54" t="n"/>
      <c r="L163" s="54" t="n"/>
      <c r="M163" s="46">
        <f>IF($A163="","",LOWER(TRIM(SUBSTITUTE(SUBSTITUTE(SUBSTITUTE(SUBSTITUTE(SUBSTITUTE(SUBSTITUTE(SUBSTITUTE(SUBSTITUTE(SUBSTITUTE(SUBSTITUTE(SUBSTITUTE(C163,".",""),",",""),";",""),":",""),"!",""),"?",""),"""",""),"'",""),"’",""),"“",""),"”",""))))</f>
        <v/>
      </c>
      <c r="N163" s="46">
        <f>IF($A163="","",SUBSTITUTE(SUBSTITUTE(LOWER(TRIM(SUBSTITUTE(SUBSTITUTE(SUBSTITUTE(SUBSTITUTE(SUBSTITUTE(SUBSTITUTE(SUBSTITUTE(SUBSTITUTE(SUBSTITUTE(SUBSTITUTE(SUBSTITUTE(D163,".",""),",",""),";",""),":",""),"!",""),"?",""),"""",""),"'",""),"’",""),"“",""),"”","")))," |","|"),"| ","|"))</f>
        <v/>
      </c>
      <c r="O163" s="46">
        <f>IF($A163="","",LOWER(TRIM(SUBSTITUTE(SUBSTITUTE(SUBSTITUTE(SUBSTITUTE(SUBSTITUTE(SUBSTITUTE(SUBSTITUTE(SUBSTITUTE(SUBSTITUTE(SUBSTITUTE(SUBSTITUTE(E163,".",""),",",""),";",""),":",""),"!",""),"?",""),"""",""),"'",""),"’",""),"“",""),"”",""))))</f>
        <v/>
      </c>
      <c r="P163" s="46">
        <f>IF($A163="","",LOWER(TRIM(SUBSTITUTE(SUBSTITUTE(SUBSTITUTE(SUBSTITUTE(SUBSTITUTE(SUBSTITUTE(SUBSTITUTE(SUBSTITUTE(SUBSTITUTE(SUBSTITUTE(SUBSTITUTE(F163,".",""),",",""),";",""),":",""),"!",""),"?",""),"""",""),"'",""),"’",""),"“",""),"”",""))))</f>
        <v/>
      </c>
      <c r="Q163" s="46">
        <f>IF($A163="","",LOWER(TRIM(SUBSTITUTE(SUBSTITUTE(SUBSTITUTE(SUBSTITUTE(SUBSTITUTE(SUBSTITUTE(SUBSTITUTE(SUBSTITUTE(SUBSTITUTE(SUBSTITUTE(SUBSTITUTE(G163,".",""),",",""),";",""),":",""),"!",""),"?",""),"""",""),"'",""),"’",""),"“",""),"”",""))))</f>
        <v/>
      </c>
      <c r="R163" s="46">
        <f>IF($A163="","",LEN(O163))</f>
        <v/>
      </c>
      <c r="S163" s="46">
        <f>IF($A163="","",IF(O163="",0,LEN(O163)-LEN(SUBSTITUTE(O163," ",""))+1))</f>
        <v/>
      </c>
      <c r="T163" s="46">
        <f>IF($A163="","",IF(AND(O163&lt;&gt;"",OR(O163=M163,AND(N163&lt;&gt;"",ISNUMBER(FIND("|"&amp;O163&amp;"|","|"&amp;N163&amp;"|"))))),1,0))</f>
        <v/>
      </c>
      <c r="U163" s="46">
        <f>IF($A163="","",IF(AND(Q163&lt;&gt;"",OR(Q163=M163,AND(N163&lt;&gt;"",ISNUMBER(FIND("|"&amp;Q163&amp;"|","|"&amp;N163&amp;"|"))))),1,0))</f>
        <v/>
      </c>
      <c r="V163" s="46">
        <f>IF($A163="","",IF(P163=O163,1,0))</f>
        <v/>
      </c>
      <c r="W163" s="46">
        <f>IF($A163="","",IF(Q163=O163,1,0))</f>
        <v/>
      </c>
      <c r="X163" s="46">
        <f>IF(OR($A163="",$H163=""),"",IF(AND($H163=1,T163=1),"TA",IF(AND($H163=0,T163=1),"FA",IF($H163=1,"FR","TR"))))</f>
        <v/>
      </c>
      <c r="Y163" s="46">
        <f>IF(OR($A163="",$H163=""),"",IF(AND($H163=1,U163=1),"TA",IF(AND($H163=0,U163=1),"FA",IF($H163=1,"FR","TR"))))</f>
        <v/>
      </c>
    </row>
    <row r="164" ht="15" customHeight="1" s="28">
      <c r="A164" s="54" t="n"/>
      <c r="B164" s="54" t="n"/>
      <c r="C164" s="54" t="n"/>
      <c r="D164" s="54" t="n"/>
      <c r="E164" s="54" t="n"/>
      <c r="F164" s="54" t="n"/>
      <c r="G164" s="54" t="n"/>
      <c r="H164" s="54" t="n"/>
      <c r="I164" s="54" t="n"/>
      <c r="J164" s="54" t="n"/>
      <c r="K164" s="54" t="n"/>
      <c r="L164" s="54" t="n"/>
      <c r="M164" s="46">
        <f>IF($A164="","",LOWER(TRIM(SUBSTITUTE(SUBSTITUTE(SUBSTITUTE(SUBSTITUTE(SUBSTITUTE(SUBSTITUTE(SUBSTITUTE(SUBSTITUTE(SUBSTITUTE(SUBSTITUTE(SUBSTITUTE(C164,".",""),",",""),";",""),":",""),"!",""),"?",""),"""",""),"'",""),"’",""),"“",""),"”",""))))</f>
        <v/>
      </c>
      <c r="N164" s="46">
        <f>IF($A164="","",SUBSTITUTE(SUBSTITUTE(LOWER(TRIM(SUBSTITUTE(SUBSTITUTE(SUBSTITUTE(SUBSTITUTE(SUBSTITUTE(SUBSTITUTE(SUBSTITUTE(SUBSTITUTE(SUBSTITUTE(SUBSTITUTE(SUBSTITUTE(D164,".",""),",",""),";",""),":",""),"!",""),"?",""),"""",""),"'",""),"’",""),"“",""),"”","")))," |","|"),"| ","|"))</f>
        <v/>
      </c>
      <c r="O164" s="46">
        <f>IF($A164="","",LOWER(TRIM(SUBSTITUTE(SUBSTITUTE(SUBSTITUTE(SUBSTITUTE(SUBSTITUTE(SUBSTITUTE(SUBSTITUTE(SUBSTITUTE(SUBSTITUTE(SUBSTITUTE(SUBSTITUTE(E164,".",""),",",""),";",""),":",""),"!",""),"?",""),"""",""),"'",""),"’",""),"“",""),"”",""))))</f>
        <v/>
      </c>
      <c r="P164" s="46">
        <f>IF($A164="","",LOWER(TRIM(SUBSTITUTE(SUBSTITUTE(SUBSTITUTE(SUBSTITUTE(SUBSTITUTE(SUBSTITUTE(SUBSTITUTE(SUBSTITUTE(SUBSTITUTE(SUBSTITUTE(SUBSTITUTE(F164,".",""),",",""),";",""),":",""),"!",""),"?",""),"""",""),"'",""),"’",""),"“",""),"”",""))))</f>
        <v/>
      </c>
      <c r="Q164" s="46">
        <f>IF($A164="","",LOWER(TRIM(SUBSTITUTE(SUBSTITUTE(SUBSTITUTE(SUBSTITUTE(SUBSTITUTE(SUBSTITUTE(SUBSTITUTE(SUBSTITUTE(SUBSTITUTE(SUBSTITUTE(SUBSTITUTE(G164,".",""),",",""),";",""),":",""),"!",""),"?",""),"""",""),"'",""),"’",""),"“",""),"”",""))))</f>
        <v/>
      </c>
      <c r="R164" s="46">
        <f>IF($A164="","",LEN(O164))</f>
        <v/>
      </c>
      <c r="S164" s="46">
        <f>IF($A164="","",IF(O164="",0,LEN(O164)-LEN(SUBSTITUTE(O164," ",""))+1))</f>
        <v/>
      </c>
      <c r="T164" s="46">
        <f>IF($A164="","",IF(AND(O164&lt;&gt;"",OR(O164=M164,AND(N164&lt;&gt;"",ISNUMBER(FIND("|"&amp;O164&amp;"|","|"&amp;N164&amp;"|"))))),1,0))</f>
        <v/>
      </c>
      <c r="U164" s="46">
        <f>IF($A164="","",IF(AND(Q164&lt;&gt;"",OR(Q164=M164,AND(N164&lt;&gt;"",ISNUMBER(FIND("|"&amp;Q164&amp;"|","|"&amp;N164&amp;"|"))))),1,0))</f>
        <v/>
      </c>
      <c r="V164" s="46">
        <f>IF($A164="","",IF(P164=O164,1,0))</f>
        <v/>
      </c>
      <c r="W164" s="46">
        <f>IF($A164="","",IF(Q164=O164,1,0))</f>
        <v/>
      </c>
      <c r="X164" s="46">
        <f>IF(OR($A164="",$H164=""),"",IF(AND($H164=1,T164=1),"TA",IF(AND($H164=0,T164=1),"FA",IF($H164=1,"FR","TR"))))</f>
        <v/>
      </c>
      <c r="Y164" s="46">
        <f>IF(OR($A164="",$H164=""),"",IF(AND($H164=1,U164=1),"TA",IF(AND($H164=0,U164=1),"FA",IF($H164=1,"FR","TR"))))</f>
        <v/>
      </c>
    </row>
    <row r="165" ht="15" customHeight="1" s="28">
      <c r="A165" s="54" t="n"/>
      <c r="B165" s="54" t="n"/>
      <c r="C165" s="54" t="n"/>
      <c r="D165" s="54" t="n"/>
      <c r="E165" s="54" t="n"/>
      <c r="F165" s="54" t="n"/>
      <c r="G165" s="54" t="n"/>
      <c r="H165" s="54" t="n"/>
      <c r="I165" s="54" t="n"/>
      <c r="J165" s="54" t="n"/>
      <c r="K165" s="54" t="n"/>
      <c r="L165" s="54" t="n"/>
      <c r="M165" s="46">
        <f>IF($A165="","",LOWER(TRIM(SUBSTITUTE(SUBSTITUTE(SUBSTITUTE(SUBSTITUTE(SUBSTITUTE(SUBSTITUTE(SUBSTITUTE(SUBSTITUTE(SUBSTITUTE(SUBSTITUTE(SUBSTITUTE(C165,".",""),",",""),";",""),":",""),"!",""),"?",""),"""",""),"'",""),"’",""),"“",""),"”",""))))</f>
        <v/>
      </c>
      <c r="N165" s="46">
        <f>IF($A165="","",SUBSTITUTE(SUBSTITUTE(LOWER(TRIM(SUBSTITUTE(SUBSTITUTE(SUBSTITUTE(SUBSTITUTE(SUBSTITUTE(SUBSTITUTE(SUBSTITUTE(SUBSTITUTE(SUBSTITUTE(SUBSTITUTE(SUBSTITUTE(D165,".",""),",",""),";",""),":",""),"!",""),"?",""),"""",""),"'",""),"’",""),"“",""),"”","")))," |","|"),"| ","|"))</f>
        <v/>
      </c>
      <c r="O165" s="46">
        <f>IF($A165="","",LOWER(TRIM(SUBSTITUTE(SUBSTITUTE(SUBSTITUTE(SUBSTITUTE(SUBSTITUTE(SUBSTITUTE(SUBSTITUTE(SUBSTITUTE(SUBSTITUTE(SUBSTITUTE(SUBSTITUTE(E165,".",""),",",""),";",""),":",""),"!",""),"?",""),"""",""),"'",""),"’",""),"“",""),"”",""))))</f>
        <v/>
      </c>
      <c r="P165" s="46">
        <f>IF($A165="","",LOWER(TRIM(SUBSTITUTE(SUBSTITUTE(SUBSTITUTE(SUBSTITUTE(SUBSTITUTE(SUBSTITUTE(SUBSTITUTE(SUBSTITUTE(SUBSTITUTE(SUBSTITUTE(SUBSTITUTE(F165,".",""),",",""),";",""),":",""),"!",""),"?",""),"""",""),"'",""),"’",""),"“",""),"”",""))))</f>
        <v/>
      </c>
      <c r="Q165" s="46">
        <f>IF($A165="","",LOWER(TRIM(SUBSTITUTE(SUBSTITUTE(SUBSTITUTE(SUBSTITUTE(SUBSTITUTE(SUBSTITUTE(SUBSTITUTE(SUBSTITUTE(SUBSTITUTE(SUBSTITUTE(SUBSTITUTE(G165,".",""),",",""),";",""),":",""),"!",""),"?",""),"""",""),"'",""),"’",""),"“",""),"”",""))))</f>
        <v/>
      </c>
      <c r="R165" s="46">
        <f>IF($A165="","",LEN(O165))</f>
        <v/>
      </c>
      <c r="S165" s="46">
        <f>IF($A165="","",IF(O165="",0,LEN(O165)-LEN(SUBSTITUTE(O165," ",""))+1))</f>
        <v/>
      </c>
      <c r="T165" s="46">
        <f>IF($A165="","",IF(AND(O165&lt;&gt;"",OR(O165=M165,AND(N165&lt;&gt;"",ISNUMBER(FIND("|"&amp;O165&amp;"|","|"&amp;N165&amp;"|"))))),1,0))</f>
        <v/>
      </c>
      <c r="U165" s="46">
        <f>IF($A165="","",IF(AND(Q165&lt;&gt;"",OR(Q165=M165,AND(N165&lt;&gt;"",ISNUMBER(FIND("|"&amp;Q165&amp;"|","|"&amp;N165&amp;"|"))))),1,0))</f>
        <v/>
      </c>
      <c r="V165" s="46">
        <f>IF($A165="","",IF(P165=O165,1,0))</f>
        <v/>
      </c>
      <c r="W165" s="46">
        <f>IF($A165="","",IF(Q165=O165,1,0))</f>
        <v/>
      </c>
      <c r="X165" s="46">
        <f>IF(OR($A165="",$H165=""),"",IF(AND($H165=1,T165=1),"TA",IF(AND($H165=0,T165=1),"FA",IF($H165=1,"FR","TR"))))</f>
        <v/>
      </c>
      <c r="Y165" s="46">
        <f>IF(OR($A165="",$H165=""),"",IF(AND($H165=1,U165=1),"TA",IF(AND($H165=0,U165=1),"FA",IF($H165=1,"FR","TR"))))</f>
        <v/>
      </c>
    </row>
    <row r="166" ht="15" customHeight="1" s="28">
      <c r="A166" s="54" t="n"/>
      <c r="B166" s="54" t="n"/>
      <c r="C166" s="54" t="n"/>
      <c r="D166" s="54" t="n"/>
      <c r="E166" s="54" t="n"/>
      <c r="F166" s="54" t="n"/>
      <c r="G166" s="54" t="n"/>
      <c r="H166" s="54" t="n"/>
      <c r="I166" s="54" t="n"/>
      <c r="J166" s="54" t="n"/>
      <c r="K166" s="54" t="n"/>
      <c r="L166" s="54" t="n"/>
      <c r="M166" s="46">
        <f>IF($A166="","",LOWER(TRIM(SUBSTITUTE(SUBSTITUTE(SUBSTITUTE(SUBSTITUTE(SUBSTITUTE(SUBSTITUTE(SUBSTITUTE(SUBSTITUTE(SUBSTITUTE(SUBSTITUTE(SUBSTITUTE(C166,".",""),",",""),";",""),":",""),"!",""),"?",""),"""",""),"'",""),"’",""),"“",""),"”",""))))</f>
        <v/>
      </c>
      <c r="N166" s="46">
        <f>IF($A166="","",SUBSTITUTE(SUBSTITUTE(LOWER(TRIM(SUBSTITUTE(SUBSTITUTE(SUBSTITUTE(SUBSTITUTE(SUBSTITUTE(SUBSTITUTE(SUBSTITUTE(SUBSTITUTE(SUBSTITUTE(SUBSTITUTE(SUBSTITUTE(D166,".",""),",",""),";",""),":",""),"!",""),"?",""),"""",""),"'",""),"’",""),"“",""),"”","")))," |","|"),"| ","|"))</f>
        <v/>
      </c>
      <c r="O166" s="46">
        <f>IF($A166="","",LOWER(TRIM(SUBSTITUTE(SUBSTITUTE(SUBSTITUTE(SUBSTITUTE(SUBSTITUTE(SUBSTITUTE(SUBSTITUTE(SUBSTITUTE(SUBSTITUTE(SUBSTITUTE(SUBSTITUTE(E166,".",""),",",""),";",""),":",""),"!",""),"?",""),"""",""),"'",""),"’",""),"“",""),"”",""))))</f>
        <v/>
      </c>
      <c r="P166" s="46">
        <f>IF($A166="","",LOWER(TRIM(SUBSTITUTE(SUBSTITUTE(SUBSTITUTE(SUBSTITUTE(SUBSTITUTE(SUBSTITUTE(SUBSTITUTE(SUBSTITUTE(SUBSTITUTE(SUBSTITUTE(SUBSTITUTE(F166,".",""),",",""),";",""),":",""),"!",""),"?",""),"""",""),"'",""),"’",""),"“",""),"”",""))))</f>
        <v/>
      </c>
      <c r="Q166" s="46">
        <f>IF($A166="","",LOWER(TRIM(SUBSTITUTE(SUBSTITUTE(SUBSTITUTE(SUBSTITUTE(SUBSTITUTE(SUBSTITUTE(SUBSTITUTE(SUBSTITUTE(SUBSTITUTE(SUBSTITUTE(SUBSTITUTE(G166,".",""),",",""),";",""),":",""),"!",""),"?",""),"""",""),"'",""),"’",""),"“",""),"”",""))))</f>
        <v/>
      </c>
      <c r="R166" s="46">
        <f>IF($A166="","",LEN(O166))</f>
        <v/>
      </c>
      <c r="S166" s="46">
        <f>IF($A166="","",IF(O166="",0,LEN(O166)-LEN(SUBSTITUTE(O166," ",""))+1))</f>
        <v/>
      </c>
      <c r="T166" s="46">
        <f>IF($A166="","",IF(AND(O166&lt;&gt;"",OR(O166=M166,AND(N166&lt;&gt;"",ISNUMBER(FIND("|"&amp;O166&amp;"|","|"&amp;N166&amp;"|"))))),1,0))</f>
        <v/>
      </c>
      <c r="U166" s="46">
        <f>IF($A166="","",IF(AND(Q166&lt;&gt;"",OR(Q166=M166,AND(N166&lt;&gt;"",ISNUMBER(FIND("|"&amp;Q166&amp;"|","|"&amp;N166&amp;"|"))))),1,0))</f>
        <v/>
      </c>
      <c r="V166" s="46">
        <f>IF($A166="","",IF(P166=O166,1,0))</f>
        <v/>
      </c>
      <c r="W166" s="46">
        <f>IF($A166="","",IF(Q166=O166,1,0))</f>
        <v/>
      </c>
      <c r="X166" s="46">
        <f>IF(OR($A166="",$H166=""),"",IF(AND($H166=1,T166=1),"TA",IF(AND($H166=0,T166=1),"FA",IF($H166=1,"FR","TR"))))</f>
        <v/>
      </c>
      <c r="Y166" s="46">
        <f>IF(OR($A166="",$H166=""),"",IF(AND($H166=1,U166=1),"TA",IF(AND($H166=0,U166=1),"FA",IF($H166=1,"FR","TR"))))</f>
        <v/>
      </c>
    </row>
    <row r="167" ht="15" customHeight="1" s="28">
      <c r="A167" s="54" t="n"/>
      <c r="B167" s="54" t="n"/>
      <c r="C167" s="54" t="n"/>
      <c r="D167" s="54" t="n"/>
      <c r="E167" s="54" t="n"/>
      <c r="F167" s="54" t="n"/>
      <c r="G167" s="54" t="n"/>
      <c r="H167" s="54" t="n"/>
      <c r="I167" s="54" t="n"/>
      <c r="J167" s="54" t="n"/>
      <c r="K167" s="54" t="n"/>
      <c r="L167" s="54" t="n"/>
      <c r="M167" s="46">
        <f>IF($A167="","",LOWER(TRIM(SUBSTITUTE(SUBSTITUTE(SUBSTITUTE(SUBSTITUTE(SUBSTITUTE(SUBSTITUTE(SUBSTITUTE(SUBSTITUTE(SUBSTITUTE(SUBSTITUTE(SUBSTITUTE(C167,".",""),",",""),";",""),":",""),"!",""),"?",""),"""",""),"'",""),"’",""),"“",""),"”",""))))</f>
        <v/>
      </c>
      <c r="N167" s="46">
        <f>IF($A167="","",SUBSTITUTE(SUBSTITUTE(LOWER(TRIM(SUBSTITUTE(SUBSTITUTE(SUBSTITUTE(SUBSTITUTE(SUBSTITUTE(SUBSTITUTE(SUBSTITUTE(SUBSTITUTE(SUBSTITUTE(SUBSTITUTE(SUBSTITUTE(D167,".",""),",",""),";",""),":",""),"!",""),"?",""),"""",""),"'",""),"’",""),"“",""),"”","")))," |","|"),"| ","|"))</f>
        <v/>
      </c>
      <c r="O167" s="46">
        <f>IF($A167="","",LOWER(TRIM(SUBSTITUTE(SUBSTITUTE(SUBSTITUTE(SUBSTITUTE(SUBSTITUTE(SUBSTITUTE(SUBSTITUTE(SUBSTITUTE(SUBSTITUTE(SUBSTITUTE(SUBSTITUTE(E167,".",""),",",""),";",""),":",""),"!",""),"?",""),"""",""),"'",""),"’",""),"“",""),"”",""))))</f>
        <v/>
      </c>
      <c r="P167" s="46">
        <f>IF($A167="","",LOWER(TRIM(SUBSTITUTE(SUBSTITUTE(SUBSTITUTE(SUBSTITUTE(SUBSTITUTE(SUBSTITUTE(SUBSTITUTE(SUBSTITUTE(SUBSTITUTE(SUBSTITUTE(SUBSTITUTE(F167,".",""),",",""),";",""),":",""),"!",""),"?",""),"""",""),"'",""),"’",""),"“",""),"”",""))))</f>
        <v/>
      </c>
      <c r="Q167" s="46">
        <f>IF($A167="","",LOWER(TRIM(SUBSTITUTE(SUBSTITUTE(SUBSTITUTE(SUBSTITUTE(SUBSTITUTE(SUBSTITUTE(SUBSTITUTE(SUBSTITUTE(SUBSTITUTE(SUBSTITUTE(SUBSTITUTE(G167,".",""),",",""),";",""),":",""),"!",""),"?",""),"""",""),"'",""),"’",""),"“",""),"”",""))))</f>
        <v/>
      </c>
      <c r="R167" s="46">
        <f>IF($A167="","",LEN(O167))</f>
        <v/>
      </c>
      <c r="S167" s="46">
        <f>IF($A167="","",IF(O167="",0,LEN(O167)-LEN(SUBSTITUTE(O167," ",""))+1))</f>
        <v/>
      </c>
      <c r="T167" s="46">
        <f>IF($A167="","",IF(AND(O167&lt;&gt;"",OR(O167=M167,AND(N167&lt;&gt;"",ISNUMBER(FIND("|"&amp;O167&amp;"|","|"&amp;N167&amp;"|"))))),1,0))</f>
        <v/>
      </c>
      <c r="U167" s="46">
        <f>IF($A167="","",IF(AND(Q167&lt;&gt;"",OR(Q167=M167,AND(N167&lt;&gt;"",ISNUMBER(FIND("|"&amp;Q167&amp;"|","|"&amp;N167&amp;"|"))))),1,0))</f>
        <v/>
      </c>
      <c r="V167" s="46">
        <f>IF($A167="","",IF(P167=O167,1,0))</f>
        <v/>
      </c>
      <c r="W167" s="46">
        <f>IF($A167="","",IF(Q167=O167,1,0))</f>
        <v/>
      </c>
      <c r="X167" s="46">
        <f>IF(OR($A167="",$H167=""),"",IF(AND($H167=1,T167=1),"TA",IF(AND($H167=0,T167=1),"FA",IF($H167=1,"FR","TR"))))</f>
        <v/>
      </c>
      <c r="Y167" s="46">
        <f>IF(OR($A167="",$H167=""),"",IF(AND($H167=1,U167=1),"TA",IF(AND($H167=0,U167=1),"FA",IF($H167=1,"FR","TR"))))</f>
        <v/>
      </c>
    </row>
    <row r="168" ht="15" customHeight="1" s="28">
      <c r="A168" s="54" t="n"/>
      <c r="B168" s="54" t="n"/>
      <c r="C168" s="54" t="n"/>
      <c r="D168" s="54" t="n"/>
      <c r="E168" s="54" t="n"/>
      <c r="F168" s="54" t="n"/>
      <c r="G168" s="54" t="n"/>
      <c r="H168" s="54" t="n"/>
      <c r="I168" s="54" t="n"/>
      <c r="J168" s="54" t="n"/>
      <c r="K168" s="54" t="n"/>
      <c r="L168" s="54" t="n"/>
      <c r="M168" s="46">
        <f>IF($A168="","",LOWER(TRIM(SUBSTITUTE(SUBSTITUTE(SUBSTITUTE(SUBSTITUTE(SUBSTITUTE(SUBSTITUTE(SUBSTITUTE(SUBSTITUTE(SUBSTITUTE(SUBSTITUTE(SUBSTITUTE(C168,".",""),",",""),";",""),":",""),"!",""),"?",""),"""",""),"'",""),"’",""),"“",""),"”",""))))</f>
        <v/>
      </c>
      <c r="N168" s="46">
        <f>IF($A168="","",SUBSTITUTE(SUBSTITUTE(LOWER(TRIM(SUBSTITUTE(SUBSTITUTE(SUBSTITUTE(SUBSTITUTE(SUBSTITUTE(SUBSTITUTE(SUBSTITUTE(SUBSTITUTE(SUBSTITUTE(SUBSTITUTE(SUBSTITUTE(D168,".",""),",",""),";",""),":",""),"!",""),"?",""),"""",""),"'",""),"’",""),"“",""),"”","")))," |","|"),"| ","|"))</f>
        <v/>
      </c>
      <c r="O168" s="46">
        <f>IF($A168="","",LOWER(TRIM(SUBSTITUTE(SUBSTITUTE(SUBSTITUTE(SUBSTITUTE(SUBSTITUTE(SUBSTITUTE(SUBSTITUTE(SUBSTITUTE(SUBSTITUTE(SUBSTITUTE(SUBSTITUTE(E168,".",""),",",""),";",""),":",""),"!",""),"?",""),"""",""),"'",""),"’",""),"“",""),"”",""))))</f>
        <v/>
      </c>
      <c r="P168" s="46">
        <f>IF($A168="","",LOWER(TRIM(SUBSTITUTE(SUBSTITUTE(SUBSTITUTE(SUBSTITUTE(SUBSTITUTE(SUBSTITUTE(SUBSTITUTE(SUBSTITUTE(SUBSTITUTE(SUBSTITUTE(SUBSTITUTE(F168,".",""),",",""),";",""),":",""),"!",""),"?",""),"""",""),"'",""),"’",""),"“",""),"”",""))))</f>
        <v/>
      </c>
      <c r="Q168" s="46">
        <f>IF($A168="","",LOWER(TRIM(SUBSTITUTE(SUBSTITUTE(SUBSTITUTE(SUBSTITUTE(SUBSTITUTE(SUBSTITUTE(SUBSTITUTE(SUBSTITUTE(SUBSTITUTE(SUBSTITUTE(SUBSTITUTE(G168,".",""),",",""),";",""),":",""),"!",""),"?",""),"""",""),"'",""),"’",""),"“",""),"”",""))))</f>
        <v/>
      </c>
      <c r="R168" s="46">
        <f>IF($A168="","",LEN(O168))</f>
        <v/>
      </c>
      <c r="S168" s="46">
        <f>IF($A168="","",IF(O168="",0,LEN(O168)-LEN(SUBSTITUTE(O168," ",""))+1))</f>
        <v/>
      </c>
      <c r="T168" s="46">
        <f>IF($A168="","",IF(AND(O168&lt;&gt;"",OR(O168=M168,AND(N168&lt;&gt;"",ISNUMBER(FIND("|"&amp;O168&amp;"|","|"&amp;N168&amp;"|"))))),1,0))</f>
        <v/>
      </c>
      <c r="U168" s="46">
        <f>IF($A168="","",IF(AND(Q168&lt;&gt;"",OR(Q168=M168,AND(N168&lt;&gt;"",ISNUMBER(FIND("|"&amp;Q168&amp;"|","|"&amp;N168&amp;"|"))))),1,0))</f>
        <v/>
      </c>
      <c r="V168" s="46">
        <f>IF($A168="","",IF(P168=O168,1,0))</f>
        <v/>
      </c>
      <c r="W168" s="46">
        <f>IF($A168="","",IF(Q168=O168,1,0))</f>
        <v/>
      </c>
      <c r="X168" s="46">
        <f>IF(OR($A168="",$H168=""),"",IF(AND($H168=1,T168=1),"TA",IF(AND($H168=0,T168=1),"FA",IF($H168=1,"FR","TR"))))</f>
        <v/>
      </c>
      <c r="Y168" s="46">
        <f>IF(OR($A168="",$H168=""),"",IF(AND($H168=1,U168=1),"TA",IF(AND($H168=0,U168=1),"FA",IF($H168=1,"FR","TR"))))</f>
        <v/>
      </c>
    </row>
    <row r="169" ht="15" customHeight="1" s="28">
      <c r="A169" s="54" t="n"/>
      <c r="B169" s="54" t="n"/>
      <c r="C169" s="54" t="n"/>
      <c r="D169" s="54" t="n"/>
      <c r="E169" s="54" t="n"/>
      <c r="F169" s="54" t="n"/>
      <c r="G169" s="54" t="n"/>
      <c r="H169" s="54" t="n"/>
      <c r="I169" s="54" t="n"/>
      <c r="J169" s="54" t="n"/>
      <c r="K169" s="54" t="n"/>
      <c r="L169" s="54" t="n"/>
      <c r="M169" s="46">
        <f>IF($A169="","",LOWER(TRIM(SUBSTITUTE(SUBSTITUTE(SUBSTITUTE(SUBSTITUTE(SUBSTITUTE(SUBSTITUTE(SUBSTITUTE(SUBSTITUTE(SUBSTITUTE(SUBSTITUTE(SUBSTITUTE(C169,".",""),",",""),";",""),":",""),"!",""),"?",""),"""",""),"'",""),"’",""),"“",""),"”",""))))</f>
        <v/>
      </c>
      <c r="N169" s="46">
        <f>IF($A169="","",SUBSTITUTE(SUBSTITUTE(LOWER(TRIM(SUBSTITUTE(SUBSTITUTE(SUBSTITUTE(SUBSTITUTE(SUBSTITUTE(SUBSTITUTE(SUBSTITUTE(SUBSTITUTE(SUBSTITUTE(SUBSTITUTE(SUBSTITUTE(D169,".",""),",",""),";",""),":",""),"!",""),"?",""),"""",""),"'",""),"’",""),"“",""),"”","")))," |","|"),"| ","|"))</f>
        <v/>
      </c>
      <c r="O169" s="46">
        <f>IF($A169="","",LOWER(TRIM(SUBSTITUTE(SUBSTITUTE(SUBSTITUTE(SUBSTITUTE(SUBSTITUTE(SUBSTITUTE(SUBSTITUTE(SUBSTITUTE(SUBSTITUTE(SUBSTITUTE(SUBSTITUTE(E169,".",""),",",""),";",""),":",""),"!",""),"?",""),"""",""),"'",""),"’",""),"“",""),"”",""))))</f>
        <v/>
      </c>
      <c r="P169" s="46">
        <f>IF($A169="","",LOWER(TRIM(SUBSTITUTE(SUBSTITUTE(SUBSTITUTE(SUBSTITUTE(SUBSTITUTE(SUBSTITUTE(SUBSTITUTE(SUBSTITUTE(SUBSTITUTE(SUBSTITUTE(SUBSTITUTE(F169,".",""),",",""),";",""),":",""),"!",""),"?",""),"""",""),"'",""),"’",""),"“",""),"”",""))))</f>
        <v/>
      </c>
      <c r="Q169" s="46">
        <f>IF($A169="","",LOWER(TRIM(SUBSTITUTE(SUBSTITUTE(SUBSTITUTE(SUBSTITUTE(SUBSTITUTE(SUBSTITUTE(SUBSTITUTE(SUBSTITUTE(SUBSTITUTE(SUBSTITUTE(SUBSTITUTE(G169,".",""),",",""),";",""),":",""),"!",""),"?",""),"""",""),"'",""),"’",""),"“",""),"”",""))))</f>
        <v/>
      </c>
      <c r="R169" s="46">
        <f>IF($A169="","",LEN(O169))</f>
        <v/>
      </c>
      <c r="S169" s="46">
        <f>IF($A169="","",IF(O169="",0,LEN(O169)-LEN(SUBSTITUTE(O169," ",""))+1))</f>
        <v/>
      </c>
      <c r="T169" s="46">
        <f>IF($A169="","",IF(AND(O169&lt;&gt;"",OR(O169=M169,AND(N169&lt;&gt;"",ISNUMBER(FIND("|"&amp;O169&amp;"|","|"&amp;N169&amp;"|"))))),1,0))</f>
        <v/>
      </c>
      <c r="U169" s="46">
        <f>IF($A169="","",IF(AND(Q169&lt;&gt;"",OR(Q169=M169,AND(N169&lt;&gt;"",ISNUMBER(FIND("|"&amp;Q169&amp;"|","|"&amp;N169&amp;"|"))))),1,0))</f>
        <v/>
      </c>
      <c r="V169" s="46">
        <f>IF($A169="","",IF(P169=O169,1,0))</f>
        <v/>
      </c>
      <c r="W169" s="46">
        <f>IF($A169="","",IF(Q169=O169,1,0))</f>
        <v/>
      </c>
      <c r="X169" s="46">
        <f>IF(OR($A169="",$H169=""),"",IF(AND($H169=1,T169=1),"TA",IF(AND($H169=0,T169=1),"FA",IF($H169=1,"FR","TR"))))</f>
        <v/>
      </c>
      <c r="Y169" s="46">
        <f>IF(OR($A169="",$H169=""),"",IF(AND($H169=1,U169=1),"TA",IF(AND($H169=0,U169=1),"FA",IF($H169=1,"FR","TR"))))</f>
        <v/>
      </c>
    </row>
    <row r="170" ht="15" customHeight="1" s="28">
      <c r="A170" s="54" t="n"/>
      <c r="B170" s="54" t="n"/>
      <c r="C170" s="54" t="n"/>
      <c r="D170" s="54" t="n"/>
      <c r="E170" s="54" t="n"/>
      <c r="F170" s="54" t="n"/>
      <c r="G170" s="54" t="n"/>
      <c r="H170" s="54" t="n"/>
      <c r="I170" s="54" t="n"/>
      <c r="J170" s="54" t="n"/>
      <c r="K170" s="54" t="n"/>
      <c r="L170" s="54" t="n"/>
      <c r="M170" s="46">
        <f>IF($A170="","",LOWER(TRIM(SUBSTITUTE(SUBSTITUTE(SUBSTITUTE(SUBSTITUTE(SUBSTITUTE(SUBSTITUTE(SUBSTITUTE(SUBSTITUTE(SUBSTITUTE(SUBSTITUTE(SUBSTITUTE(C170,".",""),",",""),";",""),":",""),"!",""),"?",""),"""",""),"'",""),"’",""),"“",""),"”",""))))</f>
        <v/>
      </c>
      <c r="N170" s="46">
        <f>IF($A170="","",SUBSTITUTE(SUBSTITUTE(LOWER(TRIM(SUBSTITUTE(SUBSTITUTE(SUBSTITUTE(SUBSTITUTE(SUBSTITUTE(SUBSTITUTE(SUBSTITUTE(SUBSTITUTE(SUBSTITUTE(SUBSTITUTE(SUBSTITUTE(D170,".",""),",",""),";",""),":",""),"!",""),"?",""),"""",""),"'",""),"’",""),"“",""),"”","")))," |","|"),"| ","|"))</f>
        <v/>
      </c>
      <c r="O170" s="46">
        <f>IF($A170="","",LOWER(TRIM(SUBSTITUTE(SUBSTITUTE(SUBSTITUTE(SUBSTITUTE(SUBSTITUTE(SUBSTITUTE(SUBSTITUTE(SUBSTITUTE(SUBSTITUTE(SUBSTITUTE(SUBSTITUTE(E170,".",""),",",""),";",""),":",""),"!",""),"?",""),"""",""),"'",""),"’",""),"“",""),"”",""))))</f>
        <v/>
      </c>
      <c r="P170" s="46">
        <f>IF($A170="","",LOWER(TRIM(SUBSTITUTE(SUBSTITUTE(SUBSTITUTE(SUBSTITUTE(SUBSTITUTE(SUBSTITUTE(SUBSTITUTE(SUBSTITUTE(SUBSTITUTE(SUBSTITUTE(SUBSTITUTE(F170,".",""),",",""),";",""),":",""),"!",""),"?",""),"""",""),"'",""),"’",""),"“",""),"”",""))))</f>
        <v/>
      </c>
      <c r="Q170" s="46">
        <f>IF($A170="","",LOWER(TRIM(SUBSTITUTE(SUBSTITUTE(SUBSTITUTE(SUBSTITUTE(SUBSTITUTE(SUBSTITUTE(SUBSTITUTE(SUBSTITUTE(SUBSTITUTE(SUBSTITUTE(SUBSTITUTE(G170,".",""),",",""),";",""),":",""),"!",""),"?",""),"""",""),"'",""),"’",""),"“",""),"”",""))))</f>
        <v/>
      </c>
      <c r="R170" s="46">
        <f>IF($A170="","",LEN(O170))</f>
        <v/>
      </c>
      <c r="S170" s="46">
        <f>IF($A170="","",IF(O170="",0,LEN(O170)-LEN(SUBSTITUTE(O170," ",""))+1))</f>
        <v/>
      </c>
      <c r="T170" s="46">
        <f>IF($A170="","",IF(AND(O170&lt;&gt;"",OR(O170=M170,AND(N170&lt;&gt;"",ISNUMBER(FIND("|"&amp;O170&amp;"|","|"&amp;N170&amp;"|"))))),1,0))</f>
        <v/>
      </c>
      <c r="U170" s="46">
        <f>IF($A170="","",IF(AND(Q170&lt;&gt;"",OR(Q170=M170,AND(N170&lt;&gt;"",ISNUMBER(FIND("|"&amp;Q170&amp;"|","|"&amp;N170&amp;"|"))))),1,0))</f>
        <v/>
      </c>
      <c r="V170" s="46">
        <f>IF($A170="","",IF(P170=O170,1,0))</f>
        <v/>
      </c>
      <c r="W170" s="46">
        <f>IF($A170="","",IF(Q170=O170,1,0))</f>
        <v/>
      </c>
      <c r="X170" s="46">
        <f>IF(OR($A170="",$H170=""),"",IF(AND($H170=1,T170=1),"TA",IF(AND($H170=0,T170=1),"FA",IF($H170=1,"FR","TR"))))</f>
        <v/>
      </c>
      <c r="Y170" s="46">
        <f>IF(OR($A170="",$H170=""),"",IF(AND($H170=1,U170=1),"TA",IF(AND($H170=0,U170=1),"FA",IF($H170=1,"FR","TR"))))</f>
        <v/>
      </c>
    </row>
    <row r="171" ht="15" customHeight="1" s="28">
      <c r="A171" s="54" t="n"/>
      <c r="B171" s="54" t="n"/>
      <c r="C171" s="54" t="n"/>
      <c r="D171" s="54" t="n"/>
      <c r="E171" s="54" t="n"/>
      <c r="F171" s="54" t="n"/>
      <c r="G171" s="54" t="n"/>
      <c r="H171" s="54" t="n"/>
      <c r="I171" s="54" t="n"/>
      <c r="J171" s="54" t="n"/>
      <c r="K171" s="54" t="n"/>
      <c r="L171" s="54" t="n"/>
      <c r="M171" s="46">
        <f>IF($A171="","",LOWER(TRIM(SUBSTITUTE(SUBSTITUTE(SUBSTITUTE(SUBSTITUTE(SUBSTITUTE(SUBSTITUTE(SUBSTITUTE(SUBSTITUTE(SUBSTITUTE(SUBSTITUTE(SUBSTITUTE(C171,".",""),",",""),";",""),":",""),"!",""),"?",""),"""",""),"'",""),"’",""),"“",""),"”",""))))</f>
        <v/>
      </c>
      <c r="N171" s="46">
        <f>IF($A171="","",SUBSTITUTE(SUBSTITUTE(LOWER(TRIM(SUBSTITUTE(SUBSTITUTE(SUBSTITUTE(SUBSTITUTE(SUBSTITUTE(SUBSTITUTE(SUBSTITUTE(SUBSTITUTE(SUBSTITUTE(SUBSTITUTE(SUBSTITUTE(D171,".",""),",",""),";",""),":",""),"!",""),"?",""),"""",""),"'",""),"’",""),"“",""),"”","")))," |","|"),"| ","|"))</f>
        <v/>
      </c>
      <c r="O171" s="46">
        <f>IF($A171="","",LOWER(TRIM(SUBSTITUTE(SUBSTITUTE(SUBSTITUTE(SUBSTITUTE(SUBSTITUTE(SUBSTITUTE(SUBSTITUTE(SUBSTITUTE(SUBSTITUTE(SUBSTITUTE(SUBSTITUTE(E171,".",""),",",""),";",""),":",""),"!",""),"?",""),"""",""),"'",""),"’",""),"“",""),"”",""))))</f>
        <v/>
      </c>
      <c r="P171" s="46">
        <f>IF($A171="","",LOWER(TRIM(SUBSTITUTE(SUBSTITUTE(SUBSTITUTE(SUBSTITUTE(SUBSTITUTE(SUBSTITUTE(SUBSTITUTE(SUBSTITUTE(SUBSTITUTE(SUBSTITUTE(SUBSTITUTE(F171,".",""),",",""),";",""),":",""),"!",""),"?",""),"""",""),"'",""),"’",""),"“",""),"”",""))))</f>
        <v/>
      </c>
      <c r="Q171" s="46">
        <f>IF($A171="","",LOWER(TRIM(SUBSTITUTE(SUBSTITUTE(SUBSTITUTE(SUBSTITUTE(SUBSTITUTE(SUBSTITUTE(SUBSTITUTE(SUBSTITUTE(SUBSTITUTE(SUBSTITUTE(SUBSTITUTE(G171,".",""),",",""),";",""),":",""),"!",""),"?",""),"""",""),"'",""),"’",""),"“",""),"”",""))))</f>
        <v/>
      </c>
      <c r="R171" s="46">
        <f>IF($A171="","",LEN(O171))</f>
        <v/>
      </c>
      <c r="S171" s="46">
        <f>IF($A171="","",IF(O171="",0,LEN(O171)-LEN(SUBSTITUTE(O171," ",""))+1))</f>
        <v/>
      </c>
      <c r="T171" s="46">
        <f>IF($A171="","",IF(AND(O171&lt;&gt;"",OR(O171=M171,AND(N171&lt;&gt;"",ISNUMBER(FIND("|"&amp;O171&amp;"|","|"&amp;N171&amp;"|"))))),1,0))</f>
        <v/>
      </c>
      <c r="U171" s="46">
        <f>IF($A171="","",IF(AND(Q171&lt;&gt;"",OR(Q171=M171,AND(N171&lt;&gt;"",ISNUMBER(FIND("|"&amp;Q171&amp;"|","|"&amp;N171&amp;"|"))))),1,0))</f>
        <v/>
      </c>
      <c r="V171" s="46">
        <f>IF($A171="","",IF(P171=O171,1,0))</f>
        <v/>
      </c>
      <c r="W171" s="46">
        <f>IF($A171="","",IF(Q171=O171,1,0))</f>
        <v/>
      </c>
      <c r="X171" s="46">
        <f>IF(OR($A171="",$H171=""),"",IF(AND($H171=1,T171=1),"TA",IF(AND($H171=0,T171=1),"FA",IF($H171=1,"FR","TR"))))</f>
        <v/>
      </c>
      <c r="Y171" s="46">
        <f>IF(OR($A171="",$H171=""),"",IF(AND($H171=1,U171=1),"TA",IF(AND($H171=0,U171=1),"FA",IF($H171=1,"FR","TR"))))</f>
        <v/>
      </c>
    </row>
    <row r="172" ht="15" customHeight="1" s="28">
      <c r="A172" s="54" t="n"/>
      <c r="B172" s="54" t="n"/>
      <c r="C172" s="54" t="n"/>
      <c r="D172" s="54" t="n"/>
      <c r="E172" s="54" t="n"/>
      <c r="F172" s="54" t="n"/>
      <c r="G172" s="54" t="n"/>
      <c r="H172" s="54" t="n"/>
      <c r="I172" s="54" t="n"/>
      <c r="J172" s="54" t="n"/>
      <c r="K172" s="54" t="n"/>
      <c r="L172" s="54" t="n"/>
      <c r="M172" s="46">
        <f>IF($A172="","",LOWER(TRIM(SUBSTITUTE(SUBSTITUTE(SUBSTITUTE(SUBSTITUTE(SUBSTITUTE(SUBSTITUTE(SUBSTITUTE(SUBSTITUTE(SUBSTITUTE(SUBSTITUTE(SUBSTITUTE(C172,".",""),",",""),";",""),":",""),"!",""),"?",""),"""",""),"'",""),"’",""),"“",""),"”",""))))</f>
        <v/>
      </c>
      <c r="N172" s="46">
        <f>IF($A172="","",SUBSTITUTE(SUBSTITUTE(LOWER(TRIM(SUBSTITUTE(SUBSTITUTE(SUBSTITUTE(SUBSTITUTE(SUBSTITUTE(SUBSTITUTE(SUBSTITUTE(SUBSTITUTE(SUBSTITUTE(SUBSTITUTE(SUBSTITUTE(D172,".",""),",",""),";",""),":",""),"!",""),"?",""),"""",""),"'",""),"’",""),"“",""),"”","")))," |","|"),"| ","|"))</f>
        <v/>
      </c>
      <c r="O172" s="46">
        <f>IF($A172="","",LOWER(TRIM(SUBSTITUTE(SUBSTITUTE(SUBSTITUTE(SUBSTITUTE(SUBSTITUTE(SUBSTITUTE(SUBSTITUTE(SUBSTITUTE(SUBSTITUTE(SUBSTITUTE(SUBSTITUTE(E172,".",""),",",""),";",""),":",""),"!",""),"?",""),"""",""),"'",""),"’",""),"“",""),"”",""))))</f>
        <v/>
      </c>
      <c r="P172" s="46">
        <f>IF($A172="","",LOWER(TRIM(SUBSTITUTE(SUBSTITUTE(SUBSTITUTE(SUBSTITUTE(SUBSTITUTE(SUBSTITUTE(SUBSTITUTE(SUBSTITUTE(SUBSTITUTE(SUBSTITUTE(SUBSTITUTE(F172,".",""),",",""),";",""),":",""),"!",""),"?",""),"""",""),"'",""),"’",""),"“",""),"”",""))))</f>
        <v/>
      </c>
      <c r="Q172" s="46">
        <f>IF($A172="","",LOWER(TRIM(SUBSTITUTE(SUBSTITUTE(SUBSTITUTE(SUBSTITUTE(SUBSTITUTE(SUBSTITUTE(SUBSTITUTE(SUBSTITUTE(SUBSTITUTE(SUBSTITUTE(SUBSTITUTE(G172,".",""),",",""),";",""),":",""),"!",""),"?",""),"""",""),"'",""),"’",""),"“",""),"”",""))))</f>
        <v/>
      </c>
      <c r="R172" s="46">
        <f>IF($A172="","",LEN(O172))</f>
        <v/>
      </c>
      <c r="S172" s="46">
        <f>IF($A172="","",IF(O172="",0,LEN(O172)-LEN(SUBSTITUTE(O172," ",""))+1))</f>
        <v/>
      </c>
      <c r="T172" s="46">
        <f>IF($A172="","",IF(AND(O172&lt;&gt;"",OR(O172=M172,AND(N172&lt;&gt;"",ISNUMBER(FIND("|"&amp;O172&amp;"|","|"&amp;N172&amp;"|"))))),1,0))</f>
        <v/>
      </c>
      <c r="U172" s="46">
        <f>IF($A172="","",IF(AND(Q172&lt;&gt;"",OR(Q172=M172,AND(N172&lt;&gt;"",ISNUMBER(FIND("|"&amp;Q172&amp;"|","|"&amp;N172&amp;"|"))))),1,0))</f>
        <v/>
      </c>
      <c r="V172" s="46">
        <f>IF($A172="","",IF(P172=O172,1,0))</f>
        <v/>
      </c>
      <c r="W172" s="46">
        <f>IF($A172="","",IF(Q172=O172,1,0))</f>
        <v/>
      </c>
      <c r="X172" s="46">
        <f>IF(OR($A172="",$H172=""),"",IF(AND($H172=1,T172=1),"TA",IF(AND($H172=0,T172=1),"FA",IF($H172=1,"FR","TR"))))</f>
        <v/>
      </c>
      <c r="Y172" s="46">
        <f>IF(OR($A172="",$H172=""),"",IF(AND($H172=1,U172=1),"TA",IF(AND($H172=0,U172=1),"FA",IF($H172=1,"FR","TR"))))</f>
        <v/>
      </c>
    </row>
    <row r="173" ht="15" customHeight="1" s="28">
      <c r="A173" s="54" t="n"/>
      <c r="B173" s="54" t="n"/>
      <c r="C173" s="54" t="n"/>
      <c r="D173" s="54" t="n"/>
      <c r="E173" s="54" t="n"/>
      <c r="F173" s="54" t="n"/>
      <c r="G173" s="54" t="n"/>
      <c r="H173" s="54" t="n"/>
      <c r="I173" s="54" t="n"/>
      <c r="J173" s="54" t="n"/>
      <c r="K173" s="54" t="n"/>
      <c r="L173" s="54" t="n"/>
      <c r="M173" s="46">
        <f>IF($A173="","",LOWER(TRIM(SUBSTITUTE(SUBSTITUTE(SUBSTITUTE(SUBSTITUTE(SUBSTITUTE(SUBSTITUTE(SUBSTITUTE(SUBSTITUTE(SUBSTITUTE(SUBSTITUTE(SUBSTITUTE(C173,".",""),",",""),";",""),":",""),"!",""),"?",""),"""",""),"'",""),"’",""),"“",""),"”",""))))</f>
        <v/>
      </c>
      <c r="N173" s="46">
        <f>IF($A173="","",SUBSTITUTE(SUBSTITUTE(LOWER(TRIM(SUBSTITUTE(SUBSTITUTE(SUBSTITUTE(SUBSTITUTE(SUBSTITUTE(SUBSTITUTE(SUBSTITUTE(SUBSTITUTE(SUBSTITUTE(SUBSTITUTE(SUBSTITUTE(D173,".",""),",",""),";",""),":",""),"!",""),"?",""),"""",""),"'",""),"’",""),"“",""),"”","")))," |","|"),"| ","|"))</f>
        <v/>
      </c>
      <c r="O173" s="46">
        <f>IF($A173="","",LOWER(TRIM(SUBSTITUTE(SUBSTITUTE(SUBSTITUTE(SUBSTITUTE(SUBSTITUTE(SUBSTITUTE(SUBSTITUTE(SUBSTITUTE(SUBSTITUTE(SUBSTITUTE(SUBSTITUTE(E173,".",""),",",""),";",""),":",""),"!",""),"?",""),"""",""),"'",""),"’",""),"“",""),"”",""))))</f>
        <v/>
      </c>
      <c r="P173" s="46">
        <f>IF($A173="","",LOWER(TRIM(SUBSTITUTE(SUBSTITUTE(SUBSTITUTE(SUBSTITUTE(SUBSTITUTE(SUBSTITUTE(SUBSTITUTE(SUBSTITUTE(SUBSTITUTE(SUBSTITUTE(SUBSTITUTE(F173,".",""),",",""),";",""),":",""),"!",""),"?",""),"""",""),"'",""),"’",""),"“",""),"”",""))))</f>
        <v/>
      </c>
      <c r="Q173" s="46">
        <f>IF($A173="","",LOWER(TRIM(SUBSTITUTE(SUBSTITUTE(SUBSTITUTE(SUBSTITUTE(SUBSTITUTE(SUBSTITUTE(SUBSTITUTE(SUBSTITUTE(SUBSTITUTE(SUBSTITUTE(SUBSTITUTE(G173,".",""),",",""),";",""),":",""),"!",""),"?",""),"""",""),"'",""),"’",""),"“",""),"”",""))))</f>
        <v/>
      </c>
      <c r="R173" s="46">
        <f>IF($A173="","",LEN(O173))</f>
        <v/>
      </c>
      <c r="S173" s="46">
        <f>IF($A173="","",IF(O173="",0,LEN(O173)-LEN(SUBSTITUTE(O173," ",""))+1))</f>
        <v/>
      </c>
      <c r="T173" s="46">
        <f>IF($A173="","",IF(AND(O173&lt;&gt;"",OR(O173=M173,AND(N173&lt;&gt;"",ISNUMBER(FIND("|"&amp;O173&amp;"|","|"&amp;N173&amp;"|"))))),1,0))</f>
        <v/>
      </c>
      <c r="U173" s="46">
        <f>IF($A173="","",IF(AND(Q173&lt;&gt;"",OR(Q173=M173,AND(N173&lt;&gt;"",ISNUMBER(FIND("|"&amp;Q173&amp;"|","|"&amp;N173&amp;"|"))))),1,0))</f>
        <v/>
      </c>
      <c r="V173" s="46">
        <f>IF($A173="","",IF(P173=O173,1,0))</f>
        <v/>
      </c>
      <c r="W173" s="46">
        <f>IF($A173="","",IF(Q173=O173,1,0))</f>
        <v/>
      </c>
      <c r="X173" s="46">
        <f>IF(OR($A173="",$H173=""),"",IF(AND($H173=1,T173=1),"TA",IF(AND($H173=0,T173=1),"FA",IF($H173=1,"FR","TR"))))</f>
        <v/>
      </c>
      <c r="Y173" s="46">
        <f>IF(OR($A173="",$H173=""),"",IF(AND($H173=1,U173=1),"TA",IF(AND($H173=0,U173=1),"FA",IF($H173=1,"FR","TR"))))</f>
        <v/>
      </c>
    </row>
    <row r="174" ht="15" customHeight="1" s="28">
      <c r="A174" s="54" t="n"/>
      <c r="B174" s="54" t="n"/>
      <c r="C174" s="54" t="n"/>
      <c r="D174" s="54" t="n"/>
      <c r="E174" s="54" t="n"/>
      <c r="F174" s="54" t="n"/>
      <c r="G174" s="54" t="n"/>
      <c r="H174" s="54" t="n"/>
      <c r="I174" s="54" t="n"/>
      <c r="J174" s="54" t="n"/>
      <c r="K174" s="54" t="n"/>
      <c r="L174" s="54" t="n"/>
      <c r="M174" s="46">
        <f>IF($A174="","",LOWER(TRIM(SUBSTITUTE(SUBSTITUTE(SUBSTITUTE(SUBSTITUTE(SUBSTITUTE(SUBSTITUTE(SUBSTITUTE(SUBSTITUTE(SUBSTITUTE(SUBSTITUTE(SUBSTITUTE(C174,".",""),",",""),";",""),":",""),"!",""),"?",""),"""",""),"'",""),"’",""),"“",""),"”",""))))</f>
        <v/>
      </c>
      <c r="N174" s="46">
        <f>IF($A174="","",SUBSTITUTE(SUBSTITUTE(LOWER(TRIM(SUBSTITUTE(SUBSTITUTE(SUBSTITUTE(SUBSTITUTE(SUBSTITUTE(SUBSTITUTE(SUBSTITUTE(SUBSTITUTE(SUBSTITUTE(SUBSTITUTE(SUBSTITUTE(D174,".",""),",",""),";",""),":",""),"!",""),"?",""),"""",""),"'",""),"’",""),"“",""),"”","")))," |","|"),"| ","|"))</f>
        <v/>
      </c>
      <c r="O174" s="46">
        <f>IF($A174="","",LOWER(TRIM(SUBSTITUTE(SUBSTITUTE(SUBSTITUTE(SUBSTITUTE(SUBSTITUTE(SUBSTITUTE(SUBSTITUTE(SUBSTITUTE(SUBSTITUTE(SUBSTITUTE(SUBSTITUTE(E174,".",""),",",""),";",""),":",""),"!",""),"?",""),"""",""),"'",""),"’",""),"“",""),"”",""))))</f>
        <v/>
      </c>
      <c r="P174" s="46">
        <f>IF($A174="","",LOWER(TRIM(SUBSTITUTE(SUBSTITUTE(SUBSTITUTE(SUBSTITUTE(SUBSTITUTE(SUBSTITUTE(SUBSTITUTE(SUBSTITUTE(SUBSTITUTE(SUBSTITUTE(SUBSTITUTE(F174,".",""),",",""),";",""),":",""),"!",""),"?",""),"""",""),"'",""),"’",""),"“",""),"”",""))))</f>
        <v/>
      </c>
      <c r="Q174" s="46">
        <f>IF($A174="","",LOWER(TRIM(SUBSTITUTE(SUBSTITUTE(SUBSTITUTE(SUBSTITUTE(SUBSTITUTE(SUBSTITUTE(SUBSTITUTE(SUBSTITUTE(SUBSTITUTE(SUBSTITUTE(SUBSTITUTE(G174,".",""),",",""),";",""),":",""),"!",""),"?",""),"""",""),"'",""),"’",""),"“",""),"”",""))))</f>
        <v/>
      </c>
      <c r="R174" s="46">
        <f>IF($A174="","",LEN(O174))</f>
        <v/>
      </c>
      <c r="S174" s="46">
        <f>IF($A174="","",IF(O174="",0,LEN(O174)-LEN(SUBSTITUTE(O174," ",""))+1))</f>
        <v/>
      </c>
      <c r="T174" s="46">
        <f>IF($A174="","",IF(AND(O174&lt;&gt;"",OR(O174=M174,AND(N174&lt;&gt;"",ISNUMBER(FIND("|"&amp;O174&amp;"|","|"&amp;N174&amp;"|"))))),1,0))</f>
        <v/>
      </c>
      <c r="U174" s="46">
        <f>IF($A174="","",IF(AND(Q174&lt;&gt;"",OR(Q174=M174,AND(N174&lt;&gt;"",ISNUMBER(FIND("|"&amp;Q174&amp;"|","|"&amp;N174&amp;"|"))))),1,0))</f>
        <v/>
      </c>
      <c r="V174" s="46">
        <f>IF($A174="","",IF(P174=O174,1,0))</f>
        <v/>
      </c>
      <c r="W174" s="46">
        <f>IF($A174="","",IF(Q174=O174,1,0))</f>
        <v/>
      </c>
      <c r="X174" s="46">
        <f>IF(OR($A174="",$H174=""),"",IF(AND($H174=1,T174=1),"TA",IF(AND($H174=0,T174=1),"FA",IF($H174=1,"FR","TR"))))</f>
        <v/>
      </c>
      <c r="Y174" s="46">
        <f>IF(OR($A174="",$H174=""),"",IF(AND($H174=1,U174=1),"TA",IF(AND($H174=0,U174=1),"FA",IF($H174=1,"FR","TR"))))</f>
        <v/>
      </c>
    </row>
    <row r="175" ht="15" customHeight="1" s="28">
      <c r="A175" s="54" t="n"/>
      <c r="B175" s="54" t="n"/>
      <c r="C175" s="54" t="n"/>
      <c r="D175" s="54" t="n"/>
      <c r="E175" s="54" t="n"/>
      <c r="F175" s="54" t="n"/>
      <c r="G175" s="54" t="n"/>
      <c r="H175" s="54" t="n"/>
      <c r="I175" s="54" t="n"/>
      <c r="J175" s="54" t="n"/>
      <c r="K175" s="54" t="n"/>
      <c r="L175" s="54" t="n"/>
      <c r="M175" s="46">
        <f>IF($A175="","",LOWER(TRIM(SUBSTITUTE(SUBSTITUTE(SUBSTITUTE(SUBSTITUTE(SUBSTITUTE(SUBSTITUTE(SUBSTITUTE(SUBSTITUTE(SUBSTITUTE(SUBSTITUTE(SUBSTITUTE(C175,".",""),",",""),";",""),":",""),"!",""),"?",""),"""",""),"'",""),"’",""),"“",""),"”",""))))</f>
        <v/>
      </c>
      <c r="N175" s="46">
        <f>IF($A175="","",SUBSTITUTE(SUBSTITUTE(LOWER(TRIM(SUBSTITUTE(SUBSTITUTE(SUBSTITUTE(SUBSTITUTE(SUBSTITUTE(SUBSTITUTE(SUBSTITUTE(SUBSTITUTE(SUBSTITUTE(SUBSTITUTE(SUBSTITUTE(D175,".",""),",",""),";",""),":",""),"!",""),"?",""),"""",""),"'",""),"’",""),"“",""),"”","")))," |","|"),"| ","|"))</f>
        <v/>
      </c>
      <c r="O175" s="46">
        <f>IF($A175="","",LOWER(TRIM(SUBSTITUTE(SUBSTITUTE(SUBSTITUTE(SUBSTITUTE(SUBSTITUTE(SUBSTITUTE(SUBSTITUTE(SUBSTITUTE(SUBSTITUTE(SUBSTITUTE(SUBSTITUTE(E175,".",""),",",""),";",""),":",""),"!",""),"?",""),"""",""),"'",""),"’",""),"“",""),"”",""))))</f>
        <v/>
      </c>
      <c r="P175" s="46">
        <f>IF($A175="","",LOWER(TRIM(SUBSTITUTE(SUBSTITUTE(SUBSTITUTE(SUBSTITUTE(SUBSTITUTE(SUBSTITUTE(SUBSTITUTE(SUBSTITUTE(SUBSTITUTE(SUBSTITUTE(SUBSTITUTE(F175,".",""),",",""),";",""),":",""),"!",""),"?",""),"""",""),"'",""),"’",""),"“",""),"”",""))))</f>
        <v/>
      </c>
      <c r="Q175" s="46">
        <f>IF($A175="","",LOWER(TRIM(SUBSTITUTE(SUBSTITUTE(SUBSTITUTE(SUBSTITUTE(SUBSTITUTE(SUBSTITUTE(SUBSTITUTE(SUBSTITUTE(SUBSTITUTE(SUBSTITUTE(SUBSTITUTE(G175,".",""),",",""),";",""),":",""),"!",""),"?",""),"""",""),"'",""),"’",""),"“",""),"”",""))))</f>
        <v/>
      </c>
      <c r="R175" s="46">
        <f>IF($A175="","",LEN(O175))</f>
        <v/>
      </c>
      <c r="S175" s="46">
        <f>IF($A175="","",IF(O175="",0,LEN(O175)-LEN(SUBSTITUTE(O175," ",""))+1))</f>
        <v/>
      </c>
      <c r="T175" s="46">
        <f>IF($A175="","",IF(AND(O175&lt;&gt;"",OR(O175=M175,AND(N175&lt;&gt;"",ISNUMBER(FIND("|"&amp;O175&amp;"|","|"&amp;N175&amp;"|"))))),1,0))</f>
        <v/>
      </c>
      <c r="U175" s="46">
        <f>IF($A175="","",IF(AND(Q175&lt;&gt;"",OR(Q175=M175,AND(N175&lt;&gt;"",ISNUMBER(FIND("|"&amp;Q175&amp;"|","|"&amp;N175&amp;"|"))))),1,0))</f>
        <v/>
      </c>
      <c r="V175" s="46">
        <f>IF($A175="","",IF(P175=O175,1,0))</f>
        <v/>
      </c>
      <c r="W175" s="46">
        <f>IF($A175="","",IF(Q175=O175,1,0))</f>
        <v/>
      </c>
      <c r="X175" s="46">
        <f>IF(OR($A175="",$H175=""),"",IF(AND($H175=1,T175=1),"TA",IF(AND($H175=0,T175=1),"FA",IF($H175=1,"FR","TR"))))</f>
        <v/>
      </c>
      <c r="Y175" s="46">
        <f>IF(OR($A175="",$H175=""),"",IF(AND($H175=1,U175=1),"TA",IF(AND($H175=0,U175=1),"FA",IF($H175=1,"FR","TR"))))</f>
        <v/>
      </c>
    </row>
    <row r="176" ht="15" customHeight="1" s="28">
      <c r="A176" s="54" t="n"/>
      <c r="B176" s="54" t="n"/>
      <c r="C176" s="54" t="n"/>
      <c r="D176" s="54" t="n"/>
      <c r="E176" s="54" t="n"/>
      <c r="F176" s="54" t="n"/>
      <c r="G176" s="54" t="n"/>
      <c r="H176" s="54" t="n"/>
      <c r="I176" s="54" t="n"/>
      <c r="J176" s="54" t="n"/>
      <c r="K176" s="54" t="n"/>
      <c r="L176" s="54" t="n"/>
      <c r="M176" s="46">
        <f>IF($A176="","",LOWER(TRIM(SUBSTITUTE(SUBSTITUTE(SUBSTITUTE(SUBSTITUTE(SUBSTITUTE(SUBSTITUTE(SUBSTITUTE(SUBSTITUTE(SUBSTITUTE(SUBSTITUTE(SUBSTITUTE(C176,".",""),",",""),";",""),":",""),"!",""),"?",""),"""",""),"'",""),"’",""),"“",""),"”",""))))</f>
        <v/>
      </c>
      <c r="N176" s="46">
        <f>IF($A176="","",SUBSTITUTE(SUBSTITUTE(LOWER(TRIM(SUBSTITUTE(SUBSTITUTE(SUBSTITUTE(SUBSTITUTE(SUBSTITUTE(SUBSTITUTE(SUBSTITUTE(SUBSTITUTE(SUBSTITUTE(SUBSTITUTE(SUBSTITUTE(D176,".",""),",",""),";",""),":",""),"!",""),"?",""),"""",""),"'",""),"’",""),"“",""),"”","")))," |","|"),"| ","|"))</f>
        <v/>
      </c>
      <c r="O176" s="46">
        <f>IF($A176="","",LOWER(TRIM(SUBSTITUTE(SUBSTITUTE(SUBSTITUTE(SUBSTITUTE(SUBSTITUTE(SUBSTITUTE(SUBSTITUTE(SUBSTITUTE(SUBSTITUTE(SUBSTITUTE(SUBSTITUTE(E176,".",""),",",""),";",""),":",""),"!",""),"?",""),"""",""),"'",""),"’",""),"“",""),"”",""))))</f>
        <v/>
      </c>
      <c r="P176" s="46">
        <f>IF($A176="","",LOWER(TRIM(SUBSTITUTE(SUBSTITUTE(SUBSTITUTE(SUBSTITUTE(SUBSTITUTE(SUBSTITUTE(SUBSTITUTE(SUBSTITUTE(SUBSTITUTE(SUBSTITUTE(SUBSTITUTE(F176,".",""),",",""),";",""),":",""),"!",""),"?",""),"""",""),"'",""),"’",""),"“",""),"”",""))))</f>
        <v/>
      </c>
      <c r="Q176" s="46">
        <f>IF($A176="","",LOWER(TRIM(SUBSTITUTE(SUBSTITUTE(SUBSTITUTE(SUBSTITUTE(SUBSTITUTE(SUBSTITUTE(SUBSTITUTE(SUBSTITUTE(SUBSTITUTE(SUBSTITUTE(SUBSTITUTE(G176,".",""),",",""),";",""),":",""),"!",""),"?",""),"""",""),"'",""),"’",""),"“",""),"”",""))))</f>
        <v/>
      </c>
      <c r="R176" s="46">
        <f>IF($A176="","",LEN(O176))</f>
        <v/>
      </c>
      <c r="S176" s="46">
        <f>IF($A176="","",IF(O176="",0,LEN(O176)-LEN(SUBSTITUTE(O176," ",""))+1))</f>
        <v/>
      </c>
      <c r="T176" s="46">
        <f>IF($A176="","",IF(AND(O176&lt;&gt;"",OR(O176=M176,AND(N176&lt;&gt;"",ISNUMBER(FIND("|"&amp;O176&amp;"|","|"&amp;N176&amp;"|"))))),1,0))</f>
        <v/>
      </c>
      <c r="U176" s="46">
        <f>IF($A176="","",IF(AND(Q176&lt;&gt;"",OR(Q176=M176,AND(N176&lt;&gt;"",ISNUMBER(FIND("|"&amp;Q176&amp;"|","|"&amp;N176&amp;"|"))))),1,0))</f>
        <v/>
      </c>
      <c r="V176" s="46">
        <f>IF($A176="","",IF(P176=O176,1,0))</f>
        <v/>
      </c>
      <c r="W176" s="46">
        <f>IF($A176="","",IF(Q176=O176,1,0))</f>
        <v/>
      </c>
      <c r="X176" s="46">
        <f>IF(OR($A176="",$H176=""),"",IF(AND($H176=1,T176=1),"TA",IF(AND($H176=0,T176=1),"FA",IF($H176=1,"FR","TR"))))</f>
        <v/>
      </c>
      <c r="Y176" s="46">
        <f>IF(OR($A176="",$H176=""),"",IF(AND($H176=1,U176=1),"TA",IF(AND($H176=0,U176=1),"FA",IF($H176=1,"FR","TR"))))</f>
        <v/>
      </c>
    </row>
    <row r="177" ht="15" customHeight="1" s="28">
      <c r="A177" s="54" t="n"/>
      <c r="B177" s="54" t="n"/>
      <c r="C177" s="54" t="n"/>
      <c r="D177" s="54" t="n"/>
      <c r="E177" s="54" t="n"/>
      <c r="F177" s="54" t="n"/>
      <c r="G177" s="54" t="n"/>
      <c r="H177" s="54" t="n"/>
      <c r="I177" s="54" t="n"/>
      <c r="J177" s="54" t="n"/>
      <c r="K177" s="54" t="n"/>
      <c r="L177" s="54" t="n"/>
      <c r="M177" s="46">
        <f>IF($A177="","",LOWER(TRIM(SUBSTITUTE(SUBSTITUTE(SUBSTITUTE(SUBSTITUTE(SUBSTITUTE(SUBSTITUTE(SUBSTITUTE(SUBSTITUTE(SUBSTITUTE(SUBSTITUTE(SUBSTITUTE(C177,".",""),",",""),";",""),":",""),"!",""),"?",""),"""",""),"'",""),"’",""),"“",""),"”",""))))</f>
        <v/>
      </c>
      <c r="N177" s="46">
        <f>IF($A177="","",SUBSTITUTE(SUBSTITUTE(LOWER(TRIM(SUBSTITUTE(SUBSTITUTE(SUBSTITUTE(SUBSTITUTE(SUBSTITUTE(SUBSTITUTE(SUBSTITUTE(SUBSTITUTE(SUBSTITUTE(SUBSTITUTE(SUBSTITUTE(D177,".",""),",",""),";",""),":",""),"!",""),"?",""),"""",""),"'",""),"’",""),"“",""),"”","")))," |","|"),"| ","|"))</f>
        <v/>
      </c>
      <c r="O177" s="46">
        <f>IF($A177="","",LOWER(TRIM(SUBSTITUTE(SUBSTITUTE(SUBSTITUTE(SUBSTITUTE(SUBSTITUTE(SUBSTITUTE(SUBSTITUTE(SUBSTITUTE(SUBSTITUTE(SUBSTITUTE(SUBSTITUTE(E177,".",""),",",""),";",""),":",""),"!",""),"?",""),"""",""),"'",""),"’",""),"“",""),"”",""))))</f>
        <v/>
      </c>
      <c r="P177" s="46">
        <f>IF($A177="","",LOWER(TRIM(SUBSTITUTE(SUBSTITUTE(SUBSTITUTE(SUBSTITUTE(SUBSTITUTE(SUBSTITUTE(SUBSTITUTE(SUBSTITUTE(SUBSTITUTE(SUBSTITUTE(SUBSTITUTE(F177,".",""),",",""),";",""),":",""),"!",""),"?",""),"""",""),"'",""),"’",""),"“",""),"”",""))))</f>
        <v/>
      </c>
      <c r="Q177" s="46">
        <f>IF($A177="","",LOWER(TRIM(SUBSTITUTE(SUBSTITUTE(SUBSTITUTE(SUBSTITUTE(SUBSTITUTE(SUBSTITUTE(SUBSTITUTE(SUBSTITUTE(SUBSTITUTE(SUBSTITUTE(SUBSTITUTE(G177,".",""),",",""),";",""),":",""),"!",""),"?",""),"""",""),"'",""),"’",""),"“",""),"”",""))))</f>
        <v/>
      </c>
      <c r="R177" s="46">
        <f>IF($A177="","",LEN(O177))</f>
        <v/>
      </c>
      <c r="S177" s="46">
        <f>IF($A177="","",IF(O177="",0,LEN(O177)-LEN(SUBSTITUTE(O177," ",""))+1))</f>
        <v/>
      </c>
      <c r="T177" s="46">
        <f>IF($A177="","",IF(AND(O177&lt;&gt;"",OR(O177=M177,AND(N177&lt;&gt;"",ISNUMBER(FIND("|"&amp;O177&amp;"|","|"&amp;N177&amp;"|"))))),1,0))</f>
        <v/>
      </c>
      <c r="U177" s="46">
        <f>IF($A177="","",IF(AND(Q177&lt;&gt;"",OR(Q177=M177,AND(N177&lt;&gt;"",ISNUMBER(FIND("|"&amp;Q177&amp;"|","|"&amp;N177&amp;"|"))))),1,0))</f>
        <v/>
      </c>
      <c r="V177" s="46">
        <f>IF($A177="","",IF(P177=O177,1,0))</f>
        <v/>
      </c>
      <c r="W177" s="46">
        <f>IF($A177="","",IF(Q177=O177,1,0))</f>
        <v/>
      </c>
      <c r="X177" s="46">
        <f>IF(OR($A177="",$H177=""),"",IF(AND($H177=1,T177=1),"TA",IF(AND($H177=0,T177=1),"FA",IF($H177=1,"FR","TR"))))</f>
        <v/>
      </c>
      <c r="Y177" s="46">
        <f>IF(OR($A177="",$H177=""),"",IF(AND($H177=1,U177=1),"TA",IF(AND($H177=0,U177=1),"FA",IF($H177=1,"FR","TR"))))</f>
        <v/>
      </c>
    </row>
    <row r="178" ht="15" customHeight="1" s="28">
      <c r="A178" s="54" t="n"/>
      <c r="B178" s="54" t="n"/>
      <c r="C178" s="54" t="n"/>
      <c r="D178" s="54" t="n"/>
      <c r="E178" s="54" t="n"/>
      <c r="F178" s="54" t="n"/>
      <c r="G178" s="54" t="n"/>
      <c r="H178" s="54" t="n"/>
      <c r="I178" s="54" t="n"/>
      <c r="J178" s="54" t="n"/>
      <c r="K178" s="54" t="n"/>
      <c r="L178" s="54" t="n"/>
      <c r="M178" s="46">
        <f>IF($A178="","",LOWER(TRIM(SUBSTITUTE(SUBSTITUTE(SUBSTITUTE(SUBSTITUTE(SUBSTITUTE(SUBSTITUTE(SUBSTITUTE(SUBSTITUTE(SUBSTITUTE(SUBSTITUTE(SUBSTITUTE(C178,".",""),",",""),";",""),":",""),"!",""),"?",""),"""",""),"'",""),"’",""),"“",""),"”",""))))</f>
        <v/>
      </c>
      <c r="N178" s="46">
        <f>IF($A178="","",SUBSTITUTE(SUBSTITUTE(LOWER(TRIM(SUBSTITUTE(SUBSTITUTE(SUBSTITUTE(SUBSTITUTE(SUBSTITUTE(SUBSTITUTE(SUBSTITUTE(SUBSTITUTE(SUBSTITUTE(SUBSTITUTE(SUBSTITUTE(D178,".",""),",",""),";",""),":",""),"!",""),"?",""),"""",""),"'",""),"’",""),"“",""),"”","")))," |","|"),"| ","|"))</f>
        <v/>
      </c>
      <c r="O178" s="46">
        <f>IF($A178="","",LOWER(TRIM(SUBSTITUTE(SUBSTITUTE(SUBSTITUTE(SUBSTITUTE(SUBSTITUTE(SUBSTITUTE(SUBSTITUTE(SUBSTITUTE(SUBSTITUTE(SUBSTITUTE(SUBSTITUTE(E178,".",""),",",""),";",""),":",""),"!",""),"?",""),"""",""),"'",""),"’",""),"“",""),"”",""))))</f>
        <v/>
      </c>
      <c r="P178" s="46">
        <f>IF($A178="","",LOWER(TRIM(SUBSTITUTE(SUBSTITUTE(SUBSTITUTE(SUBSTITUTE(SUBSTITUTE(SUBSTITUTE(SUBSTITUTE(SUBSTITUTE(SUBSTITUTE(SUBSTITUTE(SUBSTITUTE(F178,".",""),",",""),";",""),":",""),"!",""),"?",""),"""",""),"'",""),"’",""),"“",""),"”",""))))</f>
        <v/>
      </c>
      <c r="Q178" s="46">
        <f>IF($A178="","",LOWER(TRIM(SUBSTITUTE(SUBSTITUTE(SUBSTITUTE(SUBSTITUTE(SUBSTITUTE(SUBSTITUTE(SUBSTITUTE(SUBSTITUTE(SUBSTITUTE(SUBSTITUTE(SUBSTITUTE(G178,".",""),",",""),";",""),":",""),"!",""),"?",""),"""",""),"'",""),"’",""),"“",""),"”",""))))</f>
        <v/>
      </c>
      <c r="R178" s="46">
        <f>IF($A178="","",LEN(O178))</f>
        <v/>
      </c>
      <c r="S178" s="46">
        <f>IF($A178="","",IF(O178="",0,LEN(O178)-LEN(SUBSTITUTE(O178," ",""))+1))</f>
        <v/>
      </c>
      <c r="T178" s="46">
        <f>IF($A178="","",IF(AND(O178&lt;&gt;"",OR(O178=M178,AND(N178&lt;&gt;"",ISNUMBER(FIND("|"&amp;O178&amp;"|","|"&amp;N178&amp;"|"))))),1,0))</f>
        <v/>
      </c>
      <c r="U178" s="46">
        <f>IF($A178="","",IF(AND(Q178&lt;&gt;"",OR(Q178=M178,AND(N178&lt;&gt;"",ISNUMBER(FIND("|"&amp;Q178&amp;"|","|"&amp;N178&amp;"|"))))),1,0))</f>
        <v/>
      </c>
      <c r="V178" s="46">
        <f>IF($A178="","",IF(P178=O178,1,0))</f>
        <v/>
      </c>
      <c r="W178" s="46">
        <f>IF($A178="","",IF(Q178=O178,1,0))</f>
        <v/>
      </c>
      <c r="X178" s="46">
        <f>IF(OR($A178="",$H178=""),"",IF(AND($H178=1,T178=1),"TA",IF(AND($H178=0,T178=1),"FA",IF($H178=1,"FR","TR"))))</f>
        <v/>
      </c>
      <c r="Y178" s="46">
        <f>IF(OR($A178="",$H178=""),"",IF(AND($H178=1,U178=1),"TA",IF(AND($H178=0,U178=1),"FA",IF($H178=1,"FR","TR"))))</f>
        <v/>
      </c>
    </row>
    <row r="179" ht="15" customHeight="1" s="28">
      <c r="A179" s="54" t="n"/>
      <c r="B179" s="54" t="n"/>
      <c r="C179" s="54" t="n"/>
      <c r="D179" s="54" t="n"/>
      <c r="E179" s="54" t="n"/>
      <c r="F179" s="54" t="n"/>
      <c r="G179" s="54" t="n"/>
      <c r="H179" s="54" t="n"/>
      <c r="I179" s="54" t="n"/>
      <c r="J179" s="54" t="n"/>
      <c r="K179" s="54" t="n"/>
      <c r="L179" s="54" t="n"/>
      <c r="M179" s="46">
        <f>IF($A179="","",LOWER(TRIM(SUBSTITUTE(SUBSTITUTE(SUBSTITUTE(SUBSTITUTE(SUBSTITUTE(SUBSTITUTE(SUBSTITUTE(SUBSTITUTE(SUBSTITUTE(SUBSTITUTE(SUBSTITUTE(C179,".",""),",",""),";",""),":",""),"!",""),"?",""),"""",""),"'",""),"’",""),"“",""),"”",""))))</f>
        <v/>
      </c>
      <c r="N179" s="46">
        <f>IF($A179="","",SUBSTITUTE(SUBSTITUTE(LOWER(TRIM(SUBSTITUTE(SUBSTITUTE(SUBSTITUTE(SUBSTITUTE(SUBSTITUTE(SUBSTITUTE(SUBSTITUTE(SUBSTITUTE(SUBSTITUTE(SUBSTITUTE(SUBSTITUTE(D179,".",""),",",""),";",""),":",""),"!",""),"?",""),"""",""),"'",""),"’",""),"“",""),"”","")))," |","|"),"| ","|"))</f>
        <v/>
      </c>
      <c r="O179" s="46">
        <f>IF($A179="","",LOWER(TRIM(SUBSTITUTE(SUBSTITUTE(SUBSTITUTE(SUBSTITUTE(SUBSTITUTE(SUBSTITUTE(SUBSTITUTE(SUBSTITUTE(SUBSTITUTE(SUBSTITUTE(SUBSTITUTE(E179,".",""),",",""),";",""),":",""),"!",""),"?",""),"""",""),"'",""),"’",""),"“",""),"”",""))))</f>
        <v/>
      </c>
      <c r="P179" s="46">
        <f>IF($A179="","",LOWER(TRIM(SUBSTITUTE(SUBSTITUTE(SUBSTITUTE(SUBSTITUTE(SUBSTITUTE(SUBSTITUTE(SUBSTITUTE(SUBSTITUTE(SUBSTITUTE(SUBSTITUTE(SUBSTITUTE(F179,".",""),",",""),";",""),":",""),"!",""),"?",""),"""",""),"'",""),"’",""),"“",""),"”",""))))</f>
        <v/>
      </c>
      <c r="Q179" s="46">
        <f>IF($A179="","",LOWER(TRIM(SUBSTITUTE(SUBSTITUTE(SUBSTITUTE(SUBSTITUTE(SUBSTITUTE(SUBSTITUTE(SUBSTITUTE(SUBSTITUTE(SUBSTITUTE(SUBSTITUTE(SUBSTITUTE(G179,".",""),",",""),";",""),":",""),"!",""),"?",""),"""",""),"'",""),"’",""),"“",""),"”",""))))</f>
        <v/>
      </c>
      <c r="R179" s="46">
        <f>IF($A179="","",LEN(O179))</f>
        <v/>
      </c>
      <c r="S179" s="46">
        <f>IF($A179="","",IF(O179="",0,LEN(O179)-LEN(SUBSTITUTE(O179," ",""))+1))</f>
        <v/>
      </c>
      <c r="T179" s="46">
        <f>IF($A179="","",IF(AND(O179&lt;&gt;"",OR(O179=M179,AND(N179&lt;&gt;"",ISNUMBER(FIND("|"&amp;O179&amp;"|","|"&amp;N179&amp;"|"))))),1,0))</f>
        <v/>
      </c>
      <c r="U179" s="46">
        <f>IF($A179="","",IF(AND(Q179&lt;&gt;"",OR(Q179=M179,AND(N179&lt;&gt;"",ISNUMBER(FIND("|"&amp;Q179&amp;"|","|"&amp;N179&amp;"|"))))),1,0))</f>
        <v/>
      </c>
      <c r="V179" s="46">
        <f>IF($A179="","",IF(P179=O179,1,0))</f>
        <v/>
      </c>
      <c r="W179" s="46">
        <f>IF($A179="","",IF(Q179=O179,1,0))</f>
        <v/>
      </c>
      <c r="X179" s="46">
        <f>IF(OR($A179="",$H179=""),"",IF(AND($H179=1,T179=1),"TA",IF(AND($H179=0,T179=1),"FA",IF($H179=1,"FR","TR"))))</f>
        <v/>
      </c>
      <c r="Y179" s="46">
        <f>IF(OR($A179="",$H179=""),"",IF(AND($H179=1,U179=1),"TA",IF(AND($H179=0,U179=1),"FA",IF($H179=1,"FR","TR"))))</f>
        <v/>
      </c>
    </row>
    <row r="180" ht="15" customHeight="1" s="28">
      <c r="A180" s="54" t="n"/>
      <c r="B180" s="54" t="n"/>
      <c r="C180" s="54" t="n"/>
      <c r="D180" s="54" t="n"/>
      <c r="E180" s="54" t="n"/>
      <c r="F180" s="54" t="n"/>
      <c r="G180" s="54" t="n"/>
      <c r="H180" s="54" t="n"/>
      <c r="I180" s="54" t="n"/>
      <c r="J180" s="54" t="n"/>
      <c r="K180" s="54" t="n"/>
      <c r="L180" s="54" t="n"/>
      <c r="M180" s="46">
        <f>IF($A180="","",LOWER(TRIM(SUBSTITUTE(SUBSTITUTE(SUBSTITUTE(SUBSTITUTE(SUBSTITUTE(SUBSTITUTE(SUBSTITUTE(SUBSTITUTE(SUBSTITUTE(SUBSTITUTE(SUBSTITUTE(C180,".",""),",",""),";",""),":",""),"!",""),"?",""),"""",""),"'",""),"’",""),"“",""),"”",""))))</f>
        <v/>
      </c>
      <c r="N180" s="46">
        <f>IF($A180="","",SUBSTITUTE(SUBSTITUTE(LOWER(TRIM(SUBSTITUTE(SUBSTITUTE(SUBSTITUTE(SUBSTITUTE(SUBSTITUTE(SUBSTITUTE(SUBSTITUTE(SUBSTITUTE(SUBSTITUTE(SUBSTITUTE(SUBSTITUTE(D180,".",""),",",""),";",""),":",""),"!",""),"?",""),"""",""),"'",""),"’",""),"“",""),"”","")))," |","|"),"| ","|"))</f>
        <v/>
      </c>
      <c r="O180" s="46">
        <f>IF($A180="","",LOWER(TRIM(SUBSTITUTE(SUBSTITUTE(SUBSTITUTE(SUBSTITUTE(SUBSTITUTE(SUBSTITUTE(SUBSTITUTE(SUBSTITUTE(SUBSTITUTE(SUBSTITUTE(SUBSTITUTE(E180,".",""),",",""),";",""),":",""),"!",""),"?",""),"""",""),"'",""),"’",""),"“",""),"”",""))))</f>
        <v/>
      </c>
      <c r="P180" s="46">
        <f>IF($A180="","",LOWER(TRIM(SUBSTITUTE(SUBSTITUTE(SUBSTITUTE(SUBSTITUTE(SUBSTITUTE(SUBSTITUTE(SUBSTITUTE(SUBSTITUTE(SUBSTITUTE(SUBSTITUTE(SUBSTITUTE(F180,".",""),",",""),";",""),":",""),"!",""),"?",""),"""",""),"'",""),"’",""),"“",""),"”",""))))</f>
        <v/>
      </c>
      <c r="Q180" s="46">
        <f>IF($A180="","",LOWER(TRIM(SUBSTITUTE(SUBSTITUTE(SUBSTITUTE(SUBSTITUTE(SUBSTITUTE(SUBSTITUTE(SUBSTITUTE(SUBSTITUTE(SUBSTITUTE(SUBSTITUTE(SUBSTITUTE(G180,".",""),",",""),";",""),":",""),"!",""),"?",""),"""",""),"'",""),"’",""),"“",""),"”",""))))</f>
        <v/>
      </c>
      <c r="R180" s="46">
        <f>IF($A180="","",LEN(O180))</f>
        <v/>
      </c>
      <c r="S180" s="46">
        <f>IF($A180="","",IF(O180="",0,LEN(O180)-LEN(SUBSTITUTE(O180," ",""))+1))</f>
        <v/>
      </c>
      <c r="T180" s="46">
        <f>IF($A180="","",IF(AND(O180&lt;&gt;"",OR(O180=M180,AND(N180&lt;&gt;"",ISNUMBER(FIND("|"&amp;O180&amp;"|","|"&amp;N180&amp;"|"))))),1,0))</f>
        <v/>
      </c>
      <c r="U180" s="46">
        <f>IF($A180="","",IF(AND(Q180&lt;&gt;"",OR(Q180=M180,AND(N180&lt;&gt;"",ISNUMBER(FIND("|"&amp;Q180&amp;"|","|"&amp;N180&amp;"|"))))),1,0))</f>
        <v/>
      </c>
      <c r="V180" s="46">
        <f>IF($A180="","",IF(P180=O180,1,0))</f>
        <v/>
      </c>
      <c r="W180" s="46">
        <f>IF($A180="","",IF(Q180=O180,1,0))</f>
        <v/>
      </c>
      <c r="X180" s="46">
        <f>IF(OR($A180="",$H180=""),"",IF(AND($H180=1,T180=1),"TA",IF(AND($H180=0,T180=1),"FA",IF($H180=1,"FR","TR"))))</f>
        <v/>
      </c>
      <c r="Y180" s="46">
        <f>IF(OR($A180="",$H180=""),"",IF(AND($H180=1,U180=1),"TA",IF(AND($H180=0,U180=1),"FA",IF($H180=1,"FR","TR"))))</f>
        <v/>
      </c>
    </row>
    <row r="181" ht="15" customHeight="1" s="28">
      <c r="A181" s="54" t="n"/>
      <c r="B181" s="54" t="n"/>
      <c r="C181" s="54" t="n"/>
      <c r="D181" s="54" t="n"/>
      <c r="E181" s="54" t="n"/>
      <c r="F181" s="54" t="n"/>
      <c r="G181" s="54" t="n"/>
      <c r="H181" s="54" t="n"/>
      <c r="I181" s="54" t="n"/>
      <c r="J181" s="54" t="n"/>
      <c r="K181" s="54" t="n"/>
      <c r="L181" s="54" t="n"/>
      <c r="M181" s="46">
        <f>IF($A181="","",LOWER(TRIM(SUBSTITUTE(SUBSTITUTE(SUBSTITUTE(SUBSTITUTE(SUBSTITUTE(SUBSTITUTE(SUBSTITUTE(SUBSTITUTE(SUBSTITUTE(SUBSTITUTE(SUBSTITUTE(C181,".",""),",",""),";",""),":",""),"!",""),"?",""),"""",""),"'",""),"’",""),"“",""),"”",""))))</f>
        <v/>
      </c>
      <c r="N181" s="46">
        <f>IF($A181="","",SUBSTITUTE(SUBSTITUTE(LOWER(TRIM(SUBSTITUTE(SUBSTITUTE(SUBSTITUTE(SUBSTITUTE(SUBSTITUTE(SUBSTITUTE(SUBSTITUTE(SUBSTITUTE(SUBSTITUTE(SUBSTITUTE(SUBSTITUTE(D181,".",""),",",""),";",""),":",""),"!",""),"?",""),"""",""),"'",""),"’",""),"“",""),"”","")))," |","|"),"| ","|"))</f>
        <v/>
      </c>
      <c r="O181" s="46">
        <f>IF($A181="","",LOWER(TRIM(SUBSTITUTE(SUBSTITUTE(SUBSTITUTE(SUBSTITUTE(SUBSTITUTE(SUBSTITUTE(SUBSTITUTE(SUBSTITUTE(SUBSTITUTE(SUBSTITUTE(SUBSTITUTE(E181,".",""),",",""),";",""),":",""),"!",""),"?",""),"""",""),"'",""),"’",""),"“",""),"”",""))))</f>
        <v/>
      </c>
      <c r="P181" s="46">
        <f>IF($A181="","",LOWER(TRIM(SUBSTITUTE(SUBSTITUTE(SUBSTITUTE(SUBSTITUTE(SUBSTITUTE(SUBSTITUTE(SUBSTITUTE(SUBSTITUTE(SUBSTITUTE(SUBSTITUTE(SUBSTITUTE(F181,".",""),",",""),";",""),":",""),"!",""),"?",""),"""",""),"'",""),"’",""),"“",""),"”",""))))</f>
        <v/>
      </c>
      <c r="Q181" s="46">
        <f>IF($A181="","",LOWER(TRIM(SUBSTITUTE(SUBSTITUTE(SUBSTITUTE(SUBSTITUTE(SUBSTITUTE(SUBSTITUTE(SUBSTITUTE(SUBSTITUTE(SUBSTITUTE(SUBSTITUTE(SUBSTITUTE(G181,".",""),",",""),";",""),":",""),"!",""),"?",""),"""",""),"'",""),"’",""),"“",""),"”",""))))</f>
        <v/>
      </c>
      <c r="R181" s="46">
        <f>IF($A181="","",LEN(O181))</f>
        <v/>
      </c>
      <c r="S181" s="46">
        <f>IF($A181="","",IF(O181="",0,LEN(O181)-LEN(SUBSTITUTE(O181," ",""))+1))</f>
        <v/>
      </c>
      <c r="T181" s="46">
        <f>IF($A181="","",IF(AND(O181&lt;&gt;"",OR(O181=M181,AND(N181&lt;&gt;"",ISNUMBER(FIND("|"&amp;O181&amp;"|","|"&amp;N181&amp;"|"))))),1,0))</f>
        <v/>
      </c>
      <c r="U181" s="46">
        <f>IF($A181="","",IF(AND(Q181&lt;&gt;"",OR(Q181=M181,AND(N181&lt;&gt;"",ISNUMBER(FIND("|"&amp;Q181&amp;"|","|"&amp;N181&amp;"|"))))),1,0))</f>
        <v/>
      </c>
      <c r="V181" s="46">
        <f>IF($A181="","",IF(P181=O181,1,0))</f>
        <v/>
      </c>
      <c r="W181" s="46">
        <f>IF($A181="","",IF(Q181=O181,1,0))</f>
        <v/>
      </c>
      <c r="X181" s="46">
        <f>IF(OR($A181="",$H181=""),"",IF(AND($H181=1,T181=1),"TA",IF(AND($H181=0,T181=1),"FA",IF($H181=1,"FR","TR"))))</f>
        <v/>
      </c>
      <c r="Y181" s="46">
        <f>IF(OR($A181="",$H181=""),"",IF(AND($H181=1,U181=1),"TA",IF(AND($H181=0,U181=1),"FA",IF($H181=1,"FR","TR"))))</f>
        <v/>
      </c>
    </row>
    <row r="182" ht="15" customHeight="1" s="28">
      <c r="A182" s="54" t="n"/>
      <c r="B182" s="54" t="n"/>
      <c r="C182" s="54" t="n"/>
      <c r="D182" s="54" t="n"/>
      <c r="E182" s="54" t="n"/>
      <c r="F182" s="54" t="n"/>
      <c r="G182" s="54" t="n"/>
      <c r="H182" s="54" t="n"/>
      <c r="I182" s="54" t="n"/>
      <c r="J182" s="54" t="n"/>
      <c r="K182" s="54" t="n"/>
      <c r="L182" s="54" t="n"/>
      <c r="M182" s="46">
        <f>IF($A182="","",LOWER(TRIM(SUBSTITUTE(SUBSTITUTE(SUBSTITUTE(SUBSTITUTE(SUBSTITUTE(SUBSTITUTE(SUBSTITUTE(SUBSTITUTE(SUBSTITUTE(SUBSTITUTE(SUBSTITUTE(C182,".",""),",",""),";",""),":",""),"!",""),"?",""),"""",""),"'",""),"’",""),"“",""),"”",""))))</f>
        <v/>
      </c>
      <c r="N182" s="46">
        <f>IF($A182="","",SUBSTITUTE(SUBSTITUTE(LOWER(TRIM(SUBSTITUTE(SUBSTITUTE(SUBSTITUTE(SUBSTITUTE(SUBSTITUTE(SUBSTITUTE(SUBSTITUTE(SUBSTITUTE(SUBSTITUTE(SUBSTITUTE(SUBSTITUTE(D182,".",""),",",""),";",""),":",""),"!",""),"?",""),"""",""),"'",""),"’",""),"“",""),"”","")))," |","|"),"| ","|"))</f>
        <v/>
      </c>
      <c r="O182" s="46">
        <f>IF($A182="","",LOWER(TRIM(SUBSTITUTE(SUBSTITUTE(SUBSTITUTE(SUBSTITUTE(SUBSTITUTE(SUBSTITUTE(SUBSTITUTE(SUBSTITUTE(SUBSTITUTE(SUBSTITUTE(SUBSTITUTE(E182,".",""),",",""),";",""),":",""),"!",""),"?",""),"""",""),"'",""),"’",""),"“",""),"”",""))))</f>
        <v/>
      </c>
      <c r="P182" s="46">
        <f>IF($A182="","",LOWER(TRIM(SUBSTITUTE(SUBSTITUTE(SUBSTITUTE(SUBSTITUTE(SUBSTITUTE(SUBSTITUTE(SUBSTITUTE(SUBSTITUTE(SUBSTITUTE(SUBSTITUTE(SUBSTITUTE(F182,".",""),",",""),";",""),":",""),"!",""),"?",""),"""",""),"'",""),"’",""),"“",""),"”",""))))</f>
        <v/>
      </c>
      <c r="Q182" s="46">
        <f>IF($A182="","",LOWER(TRIM(SUBSTITUTE(SUBSTITUTE(SUBSTITUTE(SUBSTITUTE(SUBSTITUTE(SUBSTITUTE(SUBSTITUTE(SUBSTITUTE(SUBSTITUTE(SUBSTITUTE(SUBSTITUTE(G182,".",""),",",""),";",""),":",""),"!",""),"?",""),"""",""),"'",""),"’",""),"“",""),"”",""))))</f>
        <v/>
      </c>
      <c r="R182" s="46">
        <f>IF($A182="","",LEN(O182))</f>
        <v/>
      </c>
      <c r="S182" s="46">
        <f>IF($A182="","",IF(O182="",0,LEN(O182)-LEN(SUBSTITUTE(O182," ",""))+1))</f>
        <v/>
      </c>
      <c r="T182" s="46">
        <f>IF($A182="","",IF(AND(O182&lt;&gt;"",OR(O182=M182,AND(N182&lt;&gt;"",ISNUMBER(FIND("|"&amp;O182&amp;"|","|"&amp;N182&amp;"|"))))),1,0))</f>
        <v/>
      </c>
      <c r="U182" s="46">
        <f>IF($A182="","",IF(AND(Q182&lt;&gt;"",OR(Q182=M182,AND(N182&lt;&gt;"",ISNUMBER(FIND("|"&amp;Q182&amp;"|","|"&amp;N182&amp;"|"))))),1,0))</f>
        <v/>
      </c>
      <c r="V182" s="46">
        <f>IF($A182="","",IF(P182=O182,1,0))</f>
        <v/>
      </c>
      <c r="W182" s="46">
        <f>IF($A182="","",IF(Q182=O182,1,0))</f>
        <v/>
      </c>
      <c r="X182" s="46">
        <f>IF(OR($A182="",$H182=""),"",IF(AND($H182=1,T182=1),"TA",IF(AND($H182=0,T182=1),"FA",IF($H182=1,"FR","TR"))))</f>
        <v/>
      </c>
      <c r="Y182" s="46">
        <f>IF(OR($A182="",$H182=""),"",IF(AND($H182=1,U182=1),"TA",IF(AND($H182=0,U182=1),"FA",IF($H182=1,"FR","TR"))))</f>
        <v/>
      </c>
    </row>
    <row r="183" ht="15" customHeight="1" s="28">
      <c r="A183" s="54" t="n"/>
      <c r="B183" s="54" t="n"/>
      <c r="C183" s="54" t="n"/>
      <c r="D183" s="54" t="n"/>
      <c r="E183" s="54" t="n"/>
      <c r="F183" s="54" t="n"/>
      <c r="G183" s="54" t="n"/>
      <c r="H183" s="54" t="n"/>
      <c r="I183" s="54" t="n"/>
      <c r="J183" s="54" t="n"/>
      <c r="K183" s="54" t="n"/>
      <c r="L183" s="54" t="n"/>
      <c r="M183" s="46">
        <f>IF($A183="","",LOWER(TRIM(SUBSTITUTE(SUBSTITUTE(SUBSTITUTE(SUBSTITUTE(SUBSTITUTE(SUBSTITUTE(SUBSTITUTE(SUBSTITUTE(SUBSTITUTE(SUBSTITUTE(SUBSTITUTE(C183,".",""),",",""),";",""),":",""),"!",""),"?",""),"""",""),"'",""),"’",""),"“",""),"”",""))))</f>
        <v/>
      </c>
      <c r="N183" s="46">
        <f>IF($A183="","",SUBSTITUTE(SUBSTITUTE(LOWER(TRIM(SUBSTITUTE(SUBSTITUTE(SUBSTITUTE(SUBSTITUTE(SUBSTITUTE(SUBSTITUTE(SUBSTITUTE(SUBSTITUTE(SUBSTITUTE(SUBSTITUTE(SUBSTITUTE(D183,".",""),",",""),";",""),":",""),"!",""),"?",""),"""",""),"'",""),"’",""),"“",""),"”","")))," |","|"),"| ","|"))</f>
        <v/>
      </c>
      <c r="O183" s="46">
        <f>IF($A183="","",LOWER(TRIM(SUBSTITUTE(SUBSTITUTE(SUBSTITUTE(SUBSTITUTE(SUBSTITUTE(SUBSTITUTE(SUBSTITUTE(SUBSTITUTE(SUBSTITUTE(SUBSTITUTE(SUBSTITUTE(E183,".",""),",",""),";",""),":",""),"!",""),"?",""),"""",""),"'",""),"’",""),"“",""),"”",""))))</f>
        <v/>
      </c>
      <c r="P183" s="46">
        <f>IF($A183="","",LOWER(TRIM(SUBSTITUTE(SUBSTITUTE(SUBSTITUTE(SUBSTITUTE(SUBSTITUTE(SUBSTITUTE(SUBSTITUTE(SUBSTITUTE(SUBSTITUTE(SUBSTITUTE(SUBSTITUTE(F183,".",""),",",""),";",""),":",""),"!",""),"?",""),"""",""),"'",""),"’",""),"“",""),"”",""))))</f>
        <v/>
      </c>
      <c r="Q183" s="46">
        <f>IF($A183="","",LOWER(TRIM(SUBSTITUTE(SUBSTITUTE(SUBSTITUTE(SUBSTITUTE(SUBSTITUTE(SUBSTITUTE(SUBSTITUTE(SUBSTITUTE(SUBSTITUTE(SUBSTITUTE(SUBSTITUTE(G183,".",""),",",""),";",""),":",""),"!",""),"?",""),"""",""),"'",""),"’",""),"“",""),"”",""))))</f>
        <v/>
      </c>
      <c r="R183" s="46">
        <f>IF($A183="","",LEN(O183))</f>
        <v/>
      </c>
      <c r="S183" s="46">
        <f>IF($A183="","",IF(O183="",0,LEN(O183)-LEN(SUBSTITUTE(O183," ",""))+1))</f>
        <v/>
      </c>
      <c r="T183" s="46">
        <f>IF($A183="","",IF(AND(O183&lt;&gt;"",OR(O183=M183,AND(N183&lt;&gt;"",ISNUMBER(FIND("|"&amp;O183&amp;"|","|"&amp;N183&amp;"|"))))),1,0))</f>
        <v/>
      </c>
      <c r="U183" s="46">
        <f>IF($A183="","",IF(AND(Q183&lt;&gt;"",OR(Q183=M183,AND(N183&lt;&gt;"",ISNUMBER(FIND("|"&amp;Q183&amp;"|","|"&amp;N183&amp;"|"))))),1,0))</f>
        <v/>
      </c>
      <c r="V183" s="46">
        <f>IF($A183="","",IF(P183=O183,1,0))</f>
        <v/>
      </c>
      <c r="W183" s="46">
        <f>IF($A183="","",IF(Q183=O183,1,0))</f>
        <v/>
      </c>
      <c r="X183" s="46">
        <f>IF(OR($A183="",$H183=""),"",IF(AND($H183=1,T183=1),"TA",IF(AND($H183=0,T183=1),"FA",IF($H183=1,"FR","TR"))))</f>
        <v/>
      </c>
      <c r="Y183" s="46">
        <f>IF(OR($A183="",$H183=""),"",IF(AND($H183=1,U183=1),"TA",IF(AND($H183=0,U183=1),"FA",IF($H183=1,"FR","TR"))))</f>
        <v/>
      </c>
    </row>
    <row r="184" ht="15" customHeight="1" s="28">
      <c r="A184" s="54" t="n"/>
      <c r="B184" s="54" t="n"/>
      <c r="C184" s="54" t="n"/>
      <c r="D184" s="54" t="n"/>
      <c r="E184" s="54" t="n"/>
      <c r="F184" s="54" t="n"/>
      <c r="G184" s="54" t="n"/>
      <c r="H184" s="54" t="n"/>
      <c r="I184" s="54" t="n"/>
      <c r="J184" s="54" t="n"/>
      <c r="K184" s="54" t="n"/>
      <c r="L184" s="54" t="n"/>
      <c r="M184" s="46">
        <f>IF($A184="","",LOWER(TRIM(SUBSTITUTE(SUBSTITUTE(SUBSTITUTE(SUBSTITUTE(SUBSTITUTE(SUBSTITUTE(SUBSTITUTE(SUBSTITUTE(SUBSTITUTE(SUBSTITUTE(SUBSTITUTE(C184,".",""),",",""),";",""),":",""),"!",""),"?",""),"""",""),"'",""),"’",""),"“",""),"”",""))))</f>
        <v/>
      </c>
      <c r="N184" s="46">
        <f>IF($A184="","",SUBSTITUTE(SUBSTITUTE(LOWER(TRIM(SUBSTITUTE(SUBSTITUTE(SUBSTITUTE(SUBSTITUTE(SUBSTITUTE(SUBSTITUTE(SUBSTITUTE(SUBSTITUTE(SUBSTITUTE(SUBSTITUTE(SUBSTITUTE(D184,".",""),",",""),";",""),":",""),"!",""),"?",""),"""",""),"'",""),"’",""),"“",""),"”","")))," |","|"),"| ","|"))</f>
        <v/>
      </c>
      <c r="O184" s="46">
        <f>IF($A184="","",LOWER(TRIM(SUBSTITUTE(SUBSTITUTE(SUBSTITUTE(SUBSTITUTE(SUBSTITUTE(SUBSTITUTE(SUBSTITUTE(SUBSTITUTE(SUBSTITUTE(SUBSTITUTE(SUBSTITUTE(E184,".",""),",",""),";",""),":",""),"!",""),"?",""),"""",""),"'",""),"’",""),"“",""),"”",""))))</f>
        <v/>
      </c>
      <c r="P184" s="46">
        <f>IF($A184="","",LOWER(TRIM(SUBSTITUTE(SUBSTITUTE(SUBSTITUTE(SUBSTITUTE(SUBSTITUTE(SUBSTITUTE(SUBSTITUTE(SUBSTITUTE(SUBSTITUTE(SUBSTITUTE(SUBSTITUTE(F184,".",""),",",""),";",""),":",""),"!",""),"?",""),"""",""),"'",""),"’",""),"“",""),"”",""))))</f>
        <v/>
      </c>
      <c r="Q184" s="46">
        <f>IF($A184="","",LOWER(TRIM(SUBSTITUTE(SUBSTITUTE(SUBSTITUTE(SUBSTITUTE(SUBSTITUTE(SUBSTITUTE(SUBSTITUTE(SUBSTITUTE(SUBSTITUTE(SUBSTITUTE(SUBSTITUTE(G184,".",""),",",""),";",""),":",""),"!",""),"?",""),"""",""),"'",""),"’",""),"“",""),"”",""))))</f>
        <v/>
      </c>
      <c r="R184" s="46">
        <f>IF($A184="","",LEN(O184))</f>
        <v/>
      </c>
      <c r="S184" s="46">
        <f>IF($A184="","",IF(O184="",0,LEN(O184)-LEN(SUBSTITUTE(O184," ",""))+1))</f>
        <v/>
      </c>
      <c r="T184" s="46">
        <f>IF($A184="","",IF(AND(O184&lt;&gt;"",OR(O184=M184,AND(N184&lt;&gt;"",ISNUMBER(FIND("|"&amp;O184&amp;"|","|"&amp;N184&amp;"|"))))),1,0))</f>
        <v/>
      </c>
      <c r="U184" s="46">
        <f>IF($A184="","",IF(AND(Q184&lt;&gt;"",OR(Q184=M184,AND(N184&lt;&gt;"",ISNUMBER(FIND("|"&amp;Q184&amp;"|","|"&amp;N184&amp;"|"))))),1,0))</f>
        <v/>
      </c>
      <c r="V184" s="46">
        <f>IF($A184="","",IF(P184=O184,1,0))</f>
        <v/>
      </c>
      <c r="W184" s="46">
        <f>IF($A184="","",IF(Q184=O184,1,0))</f>
        <v/>
      </c>
      <c r="X184" s="46">
        <f>IF(OR($A184="",$H184=""),"",IF(AND($H184=1,T184=1),"TA",IF(AND($H184=0,T184=1),"FA",IF($H184=1,"FR","TR"))))</f>
        <v/>
      </c>
      <c r="Y184" s="46">
        <f>IF(OR($A184="",$H184=""),"",IF(AND($H184=1,U184=1),"TA",IF(AND($H184=0,U184=1),"FA",IF($H184=1,"FR","TR"))))</f>
        <v/>
      </c>
    </row>
    <row r="185" ht="15" customHeight="1" s="28">
      <c r="A185" s="54" t="n"/>
      <c r="B185" s="54" t="n"/>
      <c r="C185" s="54" t="n"/>
      <c r="D185" s="54" t="n"/>
      <c r="E185" s="54" t="n"/>
      <c r="F185" s="54" t="n"/>
      <c r="G185" s="54" t="n"/>
      <c r="H185" s="54" t="n"/>
      <c r="I185" s="54" t="n"/>
      <c r="J185" s="54" t="n"/>
      <c r="K185" s="54" t="n"/>
      <c r="L185" s="54" t="n"/>
      <c r="M185" s="46">
        <f>IF($A185="","",LOWER(TRIM(SUBSTITUTE(SUBSTITUTE(SUBSTITUTE(SUBSTITUTE(SUBSTITUTE(SUBSTITUTE(SUBSTITUTE(SUBSTITUTE(SUBSTITUTE(SUBSTITUTE(SUBSTITUTE(C185,".",""),",",""),";",""),":",""),"!",""),"?",""),"""",""),"'",""),"’",""),"“",""),"”",""))))</f>
        <v/>
      </c>
      <c r="N185" s="46">
        <f>IF($A185="","",SUBSTITUTE(SUBSTITUTE(LOWER(TRIM(SUBSTITUTE(SUBSTITUTE(SUBSTITUTE(SUBSTITUTE(SUBSTITUTE(SUBSTITUTE(SUBSTITUTE(SUBSTITUTE(SUBSTITUTE(SUBSTITUTE(SUBSTITUTE(D185,".",""),",",""),";",""),":",""),"!",""),"?",""),"""",""),"'",""),"’",""),"“",""),"”","")))," |","|"),"| ","|"))</f>
        <v/>
      </c>
      <c r="O185" s="46">
        <f>IF($A185="","",LOWER(TRIM(SUBSTITUTE(SUBSTITUTE(SUBSTITUTE(SUBSTITUTE(SUBSTITUTE(SUBSTITUTE(SUBSTITUTE(SUBSTITUTE(SUBSTITUTE(SUBSTITUTE(SUBSTITUTE(E185,".",""),",",""),";",""),":",""),"!",""),"?",""),"""",""),"'",""),"’",""),"“",""),"”",""))))</f>
        <v/>
      </c>
      <c r="P185" s="46">
        <f>IF($A185="","",LOWER(TRIM(SUBSTITUTE(SUBSTITUTE(SUBSTITUTE(SUBSTITUTE(SUBSTITUTE(SUBSTITUTE(SUBSTITUTE(SUBSTITUTE(SUBSTITUTE(SUBSTITUTE(SUBSTITUTE(F185,".",""),",",""),";",""),":",""),"!",""),"?",""),"""",""),"'",""),"’",""),"“",""),"”",""))))</f>
        <v/>
      </c>
      <c r="Q185" s="46">
        <f>IF($A185="","",LOWER(TRIM(SUBSTITUTE(SUBSTITUTE(SUBSTITUTE(SUBSTITUTE(SUBSTITUTE(SUBSTITUTE(SUBSTITUTE(SUBSTITUTE(SUBSTITUTE(SUBSTITUTE(SUBSTITUTE(G185,".",""),",",""),";",""),":",""),"!",""),"?",""),"""",""),"'",""),"’",""),"“",""),"”",""))))</f>
        <v/>
      </c>
      <c r="R185" s="46">
        <f>IF($A185="","",LEN(O185))</f>
        <v/>
      </c>
      <c r="S185" s="46">
        <f>IF($A185="","",IF(O185="",0,LEN(O185)-LEN(SUBSTITUTE(O185," ",""))+1))</f>
        <v/>
      </c>
      <c r="T185" s="46">
        <f>IF($A185="","",IF(AND(O185&lt;&gt;"",OR(O185=M185,AND(N185&lt;&gt;"",ISNUMBER(FIND("|"&amp;O185&amp;"|","|"&amp;N185&amp;"|"))))),1,0))</f>
        <v/>
      </c>
      <c r="U185" s="46">
        <f>IF($A185="","",IF(AND(Q185&lt;&gt;"",OR(Q185=M185,AND(N185&lt;&gt;"",ISNUMBER(FIND("|"&amp;Q185&amp;"|","|"&amp;N185&amp;"|"))))),1,0))</f>
        <v/>
      </c>
      <c r="V185" s="46">
        <f>IF($A185="","",IF(P185=O185,1,0))</f>
        <v/>
      </c>
      <c r="W185" s="46">
        <f>IF($A185="","",IF(Q185=O185,1,0))</f>
        <v/>
      </c>
      <c r="X185" s="46">
        <f>IF(OR($A185="",$H185=""),"",IF(AND($H185=1,T185=1),"TA",IF(AND($H185=0,T185=1),"FA",IF($H185=1,"FR","TR"))))</f>
        <v/>
      </c>
      <c r="Y185" s="46">
        <f>IF(OR($A185="",$H185=""),"",IF(AND($H185=1,U185=1),"TA",IF(AND($H185=0,U185=1),"FA",IF($H185=1,"FR","TR"))))</f>
        <v/>
      </c>
    </row>
    <row r="186" ht="15" customHeight="1" s="28">
      <c r="A186" s="54" t="n"/>
      <c r="B186" s="54" t="n"/>
      <c r="C186" s="54" t="n"/>
      <c r="D186" s="54" t="n"/>
      <c r="E186" s="54" t="n"/>
      <c r="F186" s="54" t="n"/>
      <c r="G186" s="54" t="n"/>
      <c r="H186" s="54" t="n"/>
      <c r="I186" s="54" t="n"/>
      <c r="J186" s="54" t="n"/>
      <c r="K186" s="54" t="n"/>
      <c r="L186" s="54" t="n"/>
      <c r="M186" s="46">
        <f>IF($A186="","",LOWER(TRIM(SUBSTITUTE(SUBSTITUTE(SUBSTITUTE(SUBSTITUTE(SUBSTITUTE(SUBSTITUTE(SUBSTITUTE(SUBSTITUTE(SUBSTITUTE(SUBSTITUTE(SUBSTITUTE(C186,".",""),",",""),";",""),":",""),"!",""),"?",""),"""",""),"'",""),"’",""),"“",""),"”",""))))</f>
        <v/>
      </c>
      <c r="N186" s="46">
        <f>IF($A186="","",SUBSTITUTE(SUBSTITUTE(LOWER(TRIM(SUBSTITUTE(SUBSTITUTE(SUBSTITUTE(SUBSTITUTE(SUBSTITUTE(SUBSTITUTE(SUBSTITUTE(SUBSTITUTE(SUBSTITUTE(SUBSTITUTE(SUBSTITUTE(D186,".",""),",",""),";",""),":",""),"!",""),"?",""),"""",""),"'",""),"’",""),"“",""),"”","")))," |","|"),"| ","|"))</f>
        <v/>
      </c>
      <c r="O186" s="46">
        <f>IF($A186="","",LOWER(TRIM(SUBSTITUTE(SUBSTITUTE(SUBSTITUTE(SUBSTITUTE(SUBSTITUTE(SUBSTITUTE(SUBSTITUTE(SUBSTITUTE(SUBSTITUTE(SUBSTITUTE(SUBSTITUTE(E186,".",""),",",""),";",""),":",""),"!",""),"?",""),"""",""),"'",""),"’",""),"“",""),"”",""))))</f>
        <v/>
      </c>
      <c r="P186" s="46">
        <f>IF($A186="","",LOWER(TRIM(SUBSTITUTE(SUBSTITUTE(SUBSTITUTE(SUBSTITUTE(SUBSTITUTE(SUBSTITUTE(SUBSTITUTE(SUBSTITUTE(SUBSTITUTE(SUBSTITUTE(SUBSTITUTE(F186,".",""),",",""),";",""),":",""),"!",""),"?",""),"""",""),"'",""),"’",""),"“",""),"”",""))))</f>
        <v/>
      </c>
      <c r="Q186" s="46">
        <f>IF($A186="","",LOWER(TRIM(SUBSTITUTE(SUBSTITUTE(SUBSTITUTE(SUBSTITUTE(SUBSTITUTE(SUBSTITUTE(SUBSTITUTE(SUBSTITUTE(SUBSTITUTE(SUBSTITUTE(SUBSTITUTE(G186,".",""),",",""),";",""),":",""),"!",""),"?",""),"""",""),"'",""),"’",""),"“",""),"”",""))))</f>
        <v/>
      </c>
      <c r="R186" s="46">
        <f>IF($A186="","",LEN(O186))</f>
        <v/>
      </c>
      <c r="S186" s="46">
        <f>IF($A186="","",IF(O186="",0,LEN(O186)-LEN(SUBSTITUTE(O186," ",""))+1))</f>
        <v/>
      </c>
      <c r="T186" s="46">
        <f>IF($A186="","",IF(AND(O186&lt;&gt;"",OR(O186=M186,AND(N186&lt;&gt;"",ISNUMBER(FIND("|"&amp;O186&amp;"|","|"&amp;N186&amp;"|"))))),1,0))</f>
        <v/>
      </c>
      <c r="U186" s="46">
        <f>IF($A186="","",IF(AND(Q186&lt;&gt;"",OR(Q186=M186,AND(N186&lt;&gt;"",ISNUMBER(FIND("|"&amp;Q186&amp;"|","|"&amp;N186&amp;"|"))))),1,0))</f>
        <v/>
      </c>
      <c r="V186" s="46">
        <f>IF($A186="","",IF(P186=O186,1,0))</f>
        <v/>
      </c>
      <c r="W186" s="46">
        <f>IF($A186="","",IF(Q186=O186,1,0))</f>
        <v/>
      </c>
      <c r="X186" s="46">
        <f>IF(OR($A186="",$H186=""),"",IF(AND($H186=1,T186=1),"TA",IF(AND($H186=0,T186=1),"FA",IF($H186=1,"FR","TR"))))</f>
        <v/>
      </c>
      <c r="Y186" s="46">
        <f>IF(OR($A186="",$H186=""),"",IF(AND($H186=1,U186=1),"TA",IF(AND($H186=0,U186=1),"FA",IF($H186=1,"FR","TR"))))</f>
        <v/>
      </c>
    </row>
    <row r="187" ht="15" customHeight="1" s="28">
      <c r="A187" s="54" t="n"/>
      <c r="B187" s="54" t="n"/>
      <c r="C187" s="54" t="n"/>
      <c r="D187" s="54" t="n"/>
      <c r="E187" s="54" t="n"/>
      <c r="F187" s="54" t="n"/>
      <c r="G187" s="54" t="n"/>
      <c r="H187" s="54" t="n"/>
      <c r="I187" s="54" t="n"/>
      <c r="J187" s="54" t="n"/>
      <c r="K187" s="54" t="n"/>
      <c r="L187" s="54" t="n"/>
      <c r="M187" s="46">
        <f>IF($A187="","",LOWER(TRIM(SUBSTITUTE(SUBSTITUTE(SUBSTITUTE(SUBSTITUTE(SUBSTITUTE(SUBSTITUTE(SUBSTITUTE(SUBSTITUTE(SUBSTITUTE(SUBSTITUTE(SUBSTITUTE(C187,".",""),",",""),";",""),":",""),"!",""),"?",""),"""",""),"'",""),"’",""),"“",""),"”",""))))</f>
        <v/>
      </c>
      <c r="N187" s="46">
        <f>IF($A187="","",SUBSTITUTE(SUBSTITUTE(LOWER(TRIM(SUBSTITUTE(SUBSTITUTE(SUBSTITUTE(SUBSTITUTE(SUBSTITUTE(SUBSTITUTE(SUBSTITUTE(SUBSTITUTE(SUBSTITUTE(SUBSTITUTE(SUBSTITUTE(D187,".",""),",",""),";",""),":",""),"!",""),"?",""),"""",""),"'",""),"’",""),"“",""),"”","")))," |","|"),"| ","|"))</f>
        <v/>
      </c>
      <c r="O187" s="46">
        <f>IF($A187="","",LOWER(TRIM(SUBSTITUTE(SUBSTITUTE(SUBSTITUTE(SUBSTITUTE(SUBSTITUTE(SUBSTITUTE(SUBSTITUTE(SUBSTITUTE(SUBSTITUTE(SUBSTITUTE(SUBSTITUTE(E187,".",""),",",""),";",""),":",""),"!",""),"?",""),"""",""),"'",""),"’",""),"“",""),"”",""))))</f>
        <v/>
      </c>
      <c r="P187" s="46">
        <f>IF($A187="","",LOWER(TRIM(SUBSTITUTE(SUBSTITUTE(SUBSTITUTE(SUBSTITUTE(SUBSTITUTE(SUBSTITUTE(SUBSTITUTE(SUBSTITUTE(SUBSTITUTE(SUBSTITUTE(SUBSTITUTE(F187,".",""),",",""),";",""),":",""),"!",""),"?",""),"""",""),"'",""),"’",""),"“",""),"”",""))))</f>
        <v/>
      </c>
      <c r="Q187" s="46">
        <f>IF($A187="","",LOWER(TRIM(SUBSTITUTE(SUBSTITUTE(SUBSTITUTE(SUBSTITUTE(SUBSTITUTE(SUBSTITUTE(SUBSTITUTE(SUBSTITUTE(SUBSTITUTE(SUBSTITUTE(SUBSTITUTE(G187,".",""),",",""),";",""),":",""),"!",""),"?",""),"""",""),"'",""),"’",""),"“",""),"”",""))))</f>
        <v/>
      </c>
      <c r="R187" s="46">
        <f>IF($A187="","",LEN(O187))</f>
        <v/>
      </c>
      <c r="S187" s="46">
        <f>IF($A187="","",IF(O187="",0,LEN(O187)-LEN(SUBSTITUTE(O187," ",""))+1))</f>
        <v/>
      </c>
      <c r="T187" s="46">
        <f>IF($A187="","",IF(AND(O187&lt;&gt;"",OR(O187=M187,AND(N187&lt;&gt;"",ISNUMBER(FIND("|"&amp;O187&amp;"|","|"&amp;N187&amp;"|"))))),1,0))</f>
        <v/>
      </c>
      <c r="U187" s="46">
        <f>IF($A187="","",IF(AND(Q187&lt;&gt;"",OR(Q187=M187,AND(N187&lt;&gt;"",ISNUMBER(FIND("|"&amp;Q187&amp;"|","|"&amp;N187&amp;"|"))))),1,0))</f>
        <v/>
      </c>
      <c r="V187" s="46">
        <f>IF($A187="","",IF(P187=O187,1,0))</f>
        <v/>
      </c>
      <c r="W187" s="46">
        <f>IF($A187="","",IF(Q187=O187,1,0))</f>
        <v/>
      </c>
      <c r="X187" s="46">
        <f>IF(OR($A187="",$H187=""),"",IF(AND($H187=1,T187=1),"TA",IF(AND($H187=0,T187=1),"FA",IF($H187=1,"FR","TR"))))</f>
        <v/>
      </c>
      <c r="Y187" s="46">
        <f>IF(OR($A187="",$H187=""),"",IF(AND($H187=1,U187=1),"TA",IF(AND($H187=0,U187=1),"FA",IF($H187=1,"FR","TR"))))</f>
        <v/>
      </c>
    </row>
    <row r="188" ht="15" customHeight="1" s="28">
      <c r="A188" s="54" t="n"/>
      <c r="B188" s="54" t="n"/>
      <c r="C188" s="54" t="n"/>
      <c r="D188" s="54" t="n"/>
      <c r="E188" s="54" t="n"/>
      <c r="F188" s="54" t="n"/>
      <c r="G188" s="54" t="n"/>
      <c r="H188" s="54" t="n"/>
      <c r="I188" s="54" t="n"/>
      <c r="J188" s="54" t="n"/>
      <c r="K188" s="54" t="n"/>
      <c r="L188" s="54" t="n"/>
      <c r="M188" s="46">
        <f>IF($A188="","",LOWER(TRIM(SUBSTITUTE(SUBSTITUTE(SUBSTITUTE(SUBSTITUTE(SUBSTITUTE(SUBSTITUTE(SUBSTITUTE(SUBSTITUTE(SUBSTITUTE(SUBSTITUTE(SUBSTITUTE(C188,".",""),",",""),";",""),":",""),"!",""),"?",""),"""",""),"'",""),"’",""),"“",""),"”",""))))</f>
        <v/>
      </c>
      <c r="N188" s="46">
        <f>IF($A188="","",SUBSTITUTE(SUBSTITUTE(LOWER(TRIM(SUBSTITUTE(SUBSTITUTE(SUBSTITUTE(SUBSTITUTE(SUBSTITUTE(SUBSTITUTE(SUBSTITUTE(SUBSTITUTE(SUBSTITUTE(SUBSTITUTE(SUBSTITUTE(D188,".",""),",",""),";",""),":",""),"!",""),"?",""),"""",""),"'",""),"’",""),"“",""),"”","")))," |","|"),"| ","|"))</f>
        <v/>
      </c>
      <c r="O188" s="46">
        <f>IF($A188="","",LOWER(TRIM(SUBSTITUTE(SUBSTITUTE(SUBSTITUTE(SUBSTITUTE(SUBSTITUTE(SUBSTITUTE(SUBSTITUTE(SUBSTITUTE(SUBSTITUTE(SUBSTITUTE(SUBSTITUTE(E188,".",""),",",""),";",""),":",""),"!",""),"?",""),"""",""),"'",""),"’",""),"“",""),"”",""))))</f>
        <v/>
      </c>
      <c r="P188" s="46">
        <f>IF($A188="","",LOWER(TRIM(SUBSTITUTE(SUBSTITUTE(SUBSTITUTE(SUBSTITUTE(SUBSTITUTE(SUBSTITUTE(SUBSTITUTE(SUBSTITUTE(SUBSTITUTE(SUBSTITUTE(SUBSTITUTE(F188,".",""),",",""),";",""),":",""),"!",""),"?",""),"""",""),"'",""),"’",""),"“",""),"”",""))))</f>
        <v/>
      </c>
      <c r="Q188" s="46">
        <f>IF($A188="","",LOWER(TRIM(SUBSTITUTE(SUBSTITUTE(SUBSTITUTE(SUBSTITUTE(SUBSTITUTE(SUBSTITUTE(SUBSTITUTE(SUBSTITUTE(SUBSTITUTE(SUBSTITUTE(SUBSTITUTE(G188,".",""),",",""),";",""),":",""),"!",""),"?",""),"""",""),"'",""),"’",""),"“",""),"”",""))))</f>
        <v/>
      </c>
      <c r="R188" s="46">
        <f>IF($A188="","",LEN(O188))</f>
        <v/>
      </c>
      <c r="S188" s="46">
        <f>IF($A188="","",IF(O188="",0,LEN(O188)-LEN(SUBSTITUTE(O188," ",""))+1))</f>
        <v/>
      </c>
      <c r="T188" s="46">
        <f>IF($A188="","",IF(AND(O188&lt;&gt;"",OR(O188=M188,AND(N188&lt;&gt;"",ISNUMBER(FIND("|"&amp;O188&amp;"|","|"&amp;N188&amp;"|"))))),1,0))</f>
        <v/>
      </c>
      <c r="U188" s="46">
        <f>IF($A188="","",IF(AND(Q188&lt;&gt;"",OR(Q188=M188,AND(N188&lt;&gt;"",ISNUMBER(FIND("|"&amp;Q188&amp;"|","|"&amp;N188&amp;"|"))))),1,0))</f>
        <v/>
      </c>
      <c r="V188" s="46">
        <f>IF($A188="","",IF(P188=O188,1,0))</f>
        <v/>
      </c>
      <c r="W188" s="46">
        <f>IF($A188="","",IF(Q188=O188,1,0))</f>
        <v/>
      </c>
      <c r="X188" s="46">
        <f>IF(OR($A188="",$H188=""),"",IF(AND($H188=1,T188=1),"TA",IF(AND($H188=0,T188=1),"FA",IF($H188=1,"FR","TR"))))</f>
        <v/>
      </c>
      <c r="Y188" s="46">
        <f>IF(OR($A188="",$H188=""),"",IF(AND($H188=1,U188=1),"TA",IF(AND($H188=0,U188=1),"FA",IF($H188=1,"FR","TR"))))</f>
        <v/>
      </c>
    </row>
    <row r="189" ht="15" customHeight="1" s="28">
      <c r="A189" s="54" t="n"/>
      <c r="B189" s="54" t="n"/>
      <c r="C189" s="54" t="n"/>
      <c r="D189" s="54" t="n"/>
      <c r="E189" s="54" t="n"/>
      <c r="F189" s="54" t="n"/>
      <c r="G189" s="54" t="n"/>
      <c r="H189" s="54" t="n"/>
      <c r="I189" s="54" t="n"/>
      <c r="J189" s="54" t="n"/>
      <c r="K189" s="54" t="n"/>
      <c r="L189" s="54" t="n"/>
      <c r="M189" s="46">
        <f>IF($A189="","",LOWER(TRIM(SUBSTITUTE(SUBSTITUTE(SUBSTITUTE(SUBSTITUTE(SUBSTITUTE(SUBSTITUTE(SUBSTITUTE(SUBSTITUTE(SUBSTITUTE(SUBSTITUTE(SUBSTITUTE(C189,".",""),",",""),";",""),":",""),"!",""),"?",""),"""",""),"'",""),"’",""),"“",""),"”",""))))</f>
        <v/>
      </c>
      <c r="N189" s="46">
        <f>IF($A189="","",SUBSTITUTE(SUBSTITUTE(LOWER(TRIM(SUBSTITUTE(SUBSTITUTE(SUBSTITUTE(SUBSTITUTE(SUBSTITUTE(SUBSTITUTE(SUBSTITUTE(SUBSTITUTE(SUBSTITUTE(SUBSTITUTE(SUBSTITUTE(D189,".",""),",",""),";",""),":",""),"!",""),"?",""),"""",""),"'",""),"’",""),"“",""),"”","")))," |","|"),"| ","|"))</f>
        <v/>
      </c>
      <c r="O189" s="46">
        <f>IF($A189="","",LOWER(TRIM(SUBSTITUTE(SUBSTITUTE(SUBSTITUTE(SUBSTITUTE(SUBSTITUTE(SUBSTITUTE(SUBSTITUTE(SUBSTITUTE(SUBSTITUTE(SUBSTITUTE(SUBSTITUTE(E189,".",""),",",""),";",""),":",""),"!",""),"?",""),"""",""),"'",""),"’",""),"“",""),"”",""))))</f>
        <v/>
      </c>
      <c r="P189" s="46">
        <f>IF($A189="","",LOWER(TRIM(SUBSTITUTE(SUBSTITUTE(SUBSTITUTE(SUBSTITUTE(SUBSTITUTE(SUBSTITUTE(SUBSTITUTE(SUBSTITUTE(SUBSTITUTE(SUBSTITUTE(SUBSTITUTE(F189,".",""),",",""),";",""),":",""),"!",""),"?",""),"""",""),"'",""),"’",""),"“",""),"”",""))))</f>
        <v/>
      </c>
      <c r="Q189" s="46">
        <f>IF($A189="","",LOWER(TRIM(SUBSTITUTE(SUBSTITUTE(SUBSTITUTE(SUBSTITUTE(SUBSTITUTE(SUBSTITUTE(SUBSTITUTE(SUBSTITUTE(SUBSTITUTE(SUBSTITUTE(SUBSTITUTE(G189,".",""),",",""),";",""),":",""),"!",""),"?",""),"""",""),"'",""),"’",""),"“",""),"”",""))))</f>
        <v/>
      </c>
      <c r="R189" s="46">
        <f>IF($A189="","",LEN(O189))</f>
        <v/>
      </c>
      <c r="S189" s="46">
        <f>IF($A189="","",IF(O189="",0,LEN(O189)-LEN(SUBSTITUTE(O189," ",""))+1))</f>
        <v/>
      </c>
      <c r="T189" s="46">
        <f>IF($A189="","",IF(AND(O189&lt;&gt;"",OR(O189=M189,AND(N189&lt;&gt;"",ISNUMBER(FIND("|"&amp;O189&amp;"|","|"&amp;N189&amp;"|"))))),1,0))</f>
        <v/>
      </c>
      <c r="U189" s="46">
        <f>IF($A189="","",IF(AND(Q189&lt;&gt;"",OR(Q189=M189,AND(N189&lt;&gt;"",ISNUMBER(FIND("|"&amp;Q189&amp;"|","|"&amp;N189&amp;"|"))))),1,0))</f>
        <v/>
      </c>
      <c r="V189" s="46">
        <f>IF($A189="","",IF(P189=O189,1,0))</f>
        <v/>
      </c>
      <c r="W189" s="46">
        <f>IF($A189="","",IF(Q189=O189,1,0))</f>
        <v/>
      </c>
      <c r="X189" s="46">
        <f>IF(OR($A189="",$H189=""),"",IF(AND($H189=1,T189=1),"TA",IF(AND($H189=0,T189=1),"FA",IF($H189=1,"FR","TR"))))</f>
        <v/>
      </c>
      <c r="Y189" s="46">
        <f>IF(OR($A189="",$H189=""),"",IF(AND($H189=1,U189=1),"TA",IF(AND($H189=0,U189=1),"FA",IF($H189=1,"FR","TR"))))</f>
        <v/>
      </c>
    </row>
    <row r="190" ht="15" customHeight="1" s="28">
      <c r="A190" s="54" t="n"/>
      <c r="B190" s="54" t="n"/>
      <c r="C190" s="54" t="n"/>
      <c r="D190" s="54" t="n"/>
      <c r="E190" s="54" t="n"/>
      <c r="F190" s="54" t="n"/>
      <c r="G190" s="54" t="n"/>
      <c r="H190" s="54" t="n"/>
      <c r="I190" s="54" t="n"/>
      <c r="J190" s="54" t="n"/>
      <c r="K190" s="54" t="n"/>
      <c r="L190" s="54" t="n"/>
      <c r="M190" s="46">
        <f>IF($A190="","",LOWER(TRIM(SUBSTITUTE(SUBSTITUTE(SUBSTITUTE(SUBSTITUTE(SUBSTITUTE(SUBSTITUTE(SUBSTITUTE(SUBSTITUTE(SUBSTITUTE(SUBSTITUTE(SUBSTITUTE(C190,".",""),",",""),";",""),":",""),"!",""),"?",""),"""",""),"'",""),"’",""),"“",""),"”",""))))</f>
        <v/>
      </c>
      <c r="N190" s="46">
        <f>IF($A190="","",SUBSTITUTE(SUBSTITUTE(LOWER(TRIM(SUBSTITUTE(SUBSTITUTE(SUBSTITUTE(SUBSTITUTE(SUBSTITUTE(SUBSTITUTE(SUBSTITUTE(SUBSTITUTE(SUBSTITUTE(SUBSTITUTE(SUBSTITUTE(D190,".",""),",",""),";",""),":",""),"!",""),"?",""),"""",""),"'",""),"’",""),"“",""),"”","")))," |","|"),"| ","|"))</f>
        <v/>
      </c>
      <c r="O190" s="46">
        <f>IF($A190="","",LOWER(TRIM(SUBSTITUTE(SUBSTITUTE(SUBSTITUTE(SUBSTITUTE(SUBSTITUTE(SUBSTITUTE(SUBSTITUTE(SUBSTITUTE(SUBSTITUTE(SUBSTITUTE(SUBSTITUTE(E190,".",""),",",""),";",""),":",""),"!",""),"?",""),"""",""),"'",""),"’",""),"“",""),"”",""))))</f>
        <v/>
      </c>
      <c r="P190" s="46">
        <f>IF($A190="","",LOWER(TRIM(SUBSTITUTE(SUBSTITUTE(SUBSTITUTE(SUBSTITUTE(SUBSTITUTE(SUBSTITUTE(SUBSTITUTE(SUBSTITUTE(SUBSTITUTE(SUBSTITUTE(SUBSTITUTE(F190,".",""),",",""),";",""),":",""),"!",""),"?",""),"""",""),"'",""),"’",""),"“",""),"”",""))))</f>
        <v/>
      </c>
      <c r="Q190" s="46">
        <f>IF($A190="","",LOWER(TRIM(SUBSTITUTE(SUBSTITUTE(SUBSTITUTE(SUBSTITUTE(SUBSTITUTE(SUBSTITUTE(SUBSTITUTE(SUBSTITUTE(SUBSTITUTE(SUBSTITUTE(SUBSTITUTE(G190,".",""),",",""),";",""),":",""),"!",""),"?",""),"""",""),"'",""),"’",""),"“",""),"”",""))))</f>
        <v/>
      </c>
      <c r="R190" s="46">
        <f>IF($A190="","",LEN(O190))</f>
        <v/>
      </c>
      <c r="S190" s="46">
        <f>IF($A190="","",IF(O190="",0,LEN(O190)-LEN(SUBSTITUTE(O190," ",""))+1))</f>
        <v/>
      </c>
      <c r="T190" s="46">
        <f>IF($A190="","",IF(AND(O190&lt;&gt;"",OR(O190=M190,AND(N190&lt;&gt;"",ISNUMBER(FIND("|"&amp;O190&amp;"|","|"&amp;N190&amp;"|"))))),1,0))</f>
        <v/>
      </c>
      <c r="U190" s="46">
        <f>IF($A190="","",IF(AND(Q190&lt;&gt;"",OR(Q190=M190,AND(N190&lt;&gt;"",ISNUMBER(FIND("|"&amp;Q190&amp;"|","|"&amp;N190&amp;"|"))))),1,0))</f>
        <v/>
      </c>
      <c r="V190" s="46">
        <f>IF($A190="","",IF(P190=O190,1,0))</f>
        <v/>
      </c>
      <c r="W190" s="46">
        <f>IF($A190="","",IF(Q190=O190,1,0))</f>
        <v/>
      </c>
      <c r="X190" s="46">
        <f>IF(OR($A190="",$H190=""),"",IF(AND($H190=1,T190=1),"TA",IF(AND($H190=0,T190=1),"FA",IF($H190=1,"FR","TR"))))</f>
        <v/>
      </c>
      <c r="Y190" s="46">
        <f>IF(OR($A190="",$H190=""),"",IF(AND($H190=1,U190=1),"TA",IF(AND($H190=0,U190=1),"FA",IF($H190=1,"FR","TR"))))</f>
        <v/>
      </c>
    </row>
    <row r="191" ht="15" customHeight="1" s="28">
      <c r="A191" s="54" t="n"/>
      <c r="B191" s="54" t="n"/>
      <c r="C191" s="54" t="n"/>
      <c r="D191" s="54" t="n"/>
      <c r="E191" s="54" t="n"/>
      <c r="F191" s="54" t="n"/>
      <c r="G191" s="54" t="n"/>
      <c r="H191" s="54" t="n"/>
      <c r="I191" s="54" t="n"/>
      <c r="J191" s="54" t="n"/>
      <c r="K191" s="54" t="n"/>
      <c r="L191" s="54" t="n"/>
      <c r="M191" s="46">
        <f>IF($A191="","",LOWER(TRIM(SUBSTITUTE(SUBSTITUTE(SUBSTITUTE(SUBSTITUTE(SUBSTITUTE(SUBSTITUTE(SUBSTITUTE(SUBSTITUTE(SUBSTITUTE(SUBSTITUTE(SUBSTITUTE(C191,".",""),",",""),";",""),":",""),"!",""),"?",""),"""",""),"'",""),"’",""),"“",""),"”",""))))</f>
        <v/>
      </c>
      <c r="N191" s="46">
        <f>IF($A191="","",SUBSTITUTE(SUBSTITUTE(LOWER(TRIM(SUBSTITUTE(SUBSTITUTE(SUBSTITUTE(SUBSTITUTE(SUBSTITUTE(SUBSTITUTE(SUBSTITUTE(SUBSTITUTE(SUBSTITUTE(SUBSTITUTE(SUBSTITUTE(D191,".",""),",",""),";",""),":",""),"!",""),"?",""),"""",""),"'",""),"’",""),"“",""),"”","")))," |","|"),"| ","|"))</f>
        <v/>
      </c>
      <c r="O191" s="46">
        <f>IF($A191="","",LOWER(TRIM(SUBSTITUTE(SUBSTITUTE(SUBSTITUTE(SUBSTITUTE(SUBSTITUTE(SUBSTITUTE(SUBSTITUTE(SUBSTITUTE(SUBSTITUTE(SUBSTITUTE(SUBSTITUTE(E191,".",""),",",""),";",""),":",""),"!",""),"?",""),"""",""),"'",""),"’",""),"“",""),"”",""))))</f>
        <v/>
      </c>
      <c r="P191" s="46">
        <f>IF($A191="","",LOWER(TRIM(SUBSTITUTE(SUBSTITUTE(SUBSTITUTE(SUBSTITUTE(SUBSTITUTE(SUBSTITUTE(SUBSTITUTE(SUBSTITUTE(SUBSTITUTE(SUBSTITUTE(SUBSTITUTE(F191,".",""),",",""),";",""),":",""),"!",""),"?",""),"""",""),"'",""),"’",""),"“",""),"”",""))))</f>
        <v/>
      </c>
      <c r="Q191" s="46">
        <f>IF($A191="","",LOWER(TRIM(SUBSTITUTE(SUBSTITUTE(SUBSTITUTE(SUBSTITUTE(SUBSTITUTE(SUBSTITUTE(SUBSTITUTE(SUBSTITUTE(SUBSTITUTE(SUBSTITUTE(SUBSTITUTE(G191,".",""),",",""),";",""),":",""),"!",""),"?",""),"""",""),"'",""),"’",""),"“",""),"”",""))))</f>
        <v/>
      </c>
      <c r="R191" s="46">
        <f>IF($A191="","",LEN(O191))</f>
        <v/>
      </c>
      <c r="S191" s="46">
        <f>IF($A191="","",IF(O191="",0,LEN(O191)-LEN(SUBSTITUTE(O191," ",""))+1))</f>
        <v/>
      </c>
      <c r="T191" s="46">
        <f>IF($A191="","",IF(AND(O191&lt;&gt;"",OR(O191=M191,AND(N191&lt;&gt;"",ISNUMBER(FIND("|"&amp;O191&amp;"|","|"&amp;N191&amp;"|"))))),1,0))</f>
        <v/>
      </c>
      <c r="U191" s="46">
        <f>IF($A191="","",IF(AND(Q191&lt;&gt;"",OR(Q191=M191,AND(N191&lt;&gt;"",ISNUMBER(FIND("|"&amp;Q191&amp;"|","|"&amp;N191&amp;"|"))))),1,0))</f>
        <v/>
      </c>
      <c r="V191" s="46">
        <f>IF($A191="","",IF(P191=O191,1,0))</f>
        <v/>
      </c>
      <c r="W191" s="46">
        <f>IF($A191="","",IF(Q191=O191,1,0))</f>
        <v/>
      </c>
      <c r="X191" s="46">
        <f>IF(OR($A191="",$H191=""),"",IF(AND($H191=1,T191=1),"TA",IF(AND($H191=0,T191=1),"FA",IF($H191=1,"FR","TR"))))</f>
        <v/>
      </c>
      <c r="Y191" s="46">
        <f>IF(OR($A191="",$H191=""),"",IF(AND($H191=1,U191=1),"TA",IF(AND($H191=0,U191=1),"FA",IF($H191=1,"FR","TR"))))</f>
        <v/>
      </c>
    </row>
    <row r="192" ht="15" customHeight="1" s="28">
      <c r="A192" s="54" t="n"/>
      <c r="B192" s="54" t="n"/>
      <c r="C192" s="54" t="n"/>
      <c r="D192" s="54" t="n"/>
      <c r="E192" s="54" t="n"/>
      <c r="F192" s="54" t="n"/>
      <c r="G192" s="54" t="n"/>
      <c r="H192" s="54" t="n"/>
      <c r="I192" s="54" t="n"/>
      <c r="J192" s="54" t="n"/>
      <c r="K192" s="54" t="n"/>
      <c r="L192" s="54" t="n"/>
      <c r="M192" s="46">
        <f>IF($A192="","",LOWER(TRIM(SUBSTITUTE(SUBSTITUTE(SUBSTITUTE(SUBSTITUTE(SUBSTITUTE(SUBSTITUTE(SUBSTITUTE(SUBSTITUTE(SUBSTITUTE(SUBSTITUTE(SUBSTITUTE(C192,".",""),",",""),";",""),":",""),"!",""),"?",""),"""",""),"'",""),"’",""),"“",""),"”",""))))</f>
        <v/>
      </c>
      <c r="N192" s="46">
        <f>IF($A192="","",SUBSTITUTE(SUBSTITUTE(LOWER(TRIM(SUBSTITUTE(SUBSTITUTE(SUBSTITUTE(SUBSTITUTE(SUBSTITUTE(SUBSTITUTE(SUBSTITUTE(SUBSTITUTE(SUBSTITUTE(SUBSTITUTE(SUBSTITUTE(D192,".",""),",",""),";",""),":",""),"!",""),"?",""),"""",""),"'",""),"’",""),"“",""),"”","")))," |","|"),"| ","|"))</f>
        <v/>
      </c>
      <c r="O192" s="46">
        <f>IF($A192="","",LOWER(TRIM(SUBSTITUTE(SUBSTITUTE(SUBSTITUTE(SUBSTITUTE(SUBSTITUTE(SUBSTITUTE(SUBSTITUTE(SUBSTITUTE(SUBSTITUTE(SUBSTITUTE(SUBSTITUTE(E192,".",""),",",""),";",""),":",""),"!",""),"?",""),"""",""),"'",""),"’",""),"“",""),"”",""))))</f>
        <v/>
      </c>
      <c r="P192" s="46">
        <f>IF($A192="","",LOWER(TRIM(SUBSTITUTE(SUBSTITUTE(SUBSTITUTE(SUBSTITUTE(SUBSTITUTE(SUBSTITUTE(SUBSTITUTE(SUBSTITUTE(SUBSTITUTE(SUBSTITUTE(SUBSTITUTE(F192,".",""),",",""),";",""),":",""),"!",""),"?",""),"""",""),"'",""),"’",""),"“",""),"”",""))))</f>
        <v/>
      </c>
      <c r="Q192" s="46">
        <f>IF($A192="","",LOWER(TRIM(SUBSTITUTE(SUBSTITUTE(SUBSTITUTE(SUBSTITUTE(SUBSTITUTE(SUBSTITUTE(SUBSTITUTE(SUBSTITUTE(SUBSTITUTE(SUBSTITUTE(SUBSTITUTE(G192,".",""),",",""),";",""),":",""),"!",""),"?",""),"""",""),"'",""),"’",""),"“",""),"”",""))))</f>
        <v/>
      </c>
      <c r="R192" s="46">
        <f>IF($A192="","",LEN(O192))</f>
        <v/>
      </c>
      <c r="S192" s="46">
        <f>IF($A192="","",IF(O192="",0,LEN(O192)-LEN(SUBSTITUTE(O192," ",""))+1))</f>
        <v/>
      </c>
      <c r="T192" s="46">
        <f>IF($A192="","",IF(AND(O192&lt;&gt;"",OR(O192=M192,AND(N192&lt;&gt;"",ISNUMBER(FIND("|"&amp;O192&amp;"|","|"&amp;N192&amp;"|"))))),1,0))</f>
        <v/>
      </c>
      <c r="U192" s="46">
        <f>IF($A192="","",IF(AND(Q192&lt;&gt;"",OR(Q192=M192,AND(N192&lt;&gt;"",ISNUMBER(FIND("|"&amp;Q192&amp;"|","|"&amp;N192&amp;"|"))))),1,0))</f>
        <v/>
      </c>
      <c r="V192" s="46">
        <f>IF($A192="","",IF(P192=O192,1,0))</f>
        <v/>
      </c>
      <c r="W192" s="46">
        <f>IF($A192="","",IF(Q192=O192,1,0))</f>
        <v/>
      </c>
      <c r="X192" s="46">
        <f>IF(OR($A192="",$H192=""),"",IF(AND($H192=1,T192=1),"TA",IF(AND($H192=0,T192=1),"FA",IF($H192=1,"FR","TR"))))</f>
        <v/>
      </c>
      <c r="Y192" s="46">
        <f>IF(OR($A192="",$H192=""),"",IF(AND($H192=1,U192=1),"TA",IF(AND($H192=0,U192=1),"FA",IF($H192=1,"FR","TR"))))</f>
        <v/>
      </c>
    </row>
    <row r="193" ht="15" customHeight="1" s="28">
      <c r="A193" s="54" t="n"/>
      <c r="B193" s="54" t="n"/>
      <c r="C193" s="54" t="n"/>
      <c r="D193" s="54" t="n"/>
      <c r="E193" s="54" t="n"/>
      <c r="F193" s="54" t="n"/>
      <c r="G193" s="54" t="n"/>
      <c r="H193" s="54" t="n"/>
      <c r="I193" s="54" t="n"/>
      <c r="J193" s="54" t="n"/>
      <c r="K193" s="54" t="n"/>
      <c r="L193" s="54" t="n"/>
      <c r="M193" s="46">
        <f>IF($A193="","",LOWER(TRIM(SUBSTITUTE(SUBSTITUTE(SUBSTITUTE(SUBSTITUTE(SUBSTITUTE(SUBSTITUTE(SUBSTITUTE(SUBSTITUTE(SUBSTITUTE(SUBSTITUTE(SUBSTITUTE(C193,".",""),",",""),";",""),":",""),"!",""),"?",""),"""",""),"'",""),"’",""),"“",""),"”",""))))</f>
        <v/>
      </c>
      <c r="N193" s="46">
        <f>IF($A193="","",SUBSTITUTE(SUBSTITUTE(LOWER(TRIM(SUBSTITUTE(SUBSTITUTE(SUBSTITUTE(SUBSTITUTE(SUBSTITUTE(SUBSTITUTE(SUBSTITUTE(SUBSTITUTE(SUBSTITUTE(SUBSTITUTE(SUBSTITUTE(D193,".",""),",",""),";",""),":",""),"!",""),"?",""),"""",""),"'",""),"’",""),"“",""),"”","")))," |","|"),"| ","|"))</f>
        <v/>
      </c>
      <c r="O193" s="46">
        <f>IF($A193="","",LOWER(TRIM(SUBSTITUTE(SUBSTITUTE(SUBSTITUTE(SUBSTITUTE(SUBSTITUTE(SUBSTITUTE(SUBSTITUTE(SUBSTITUTE(SUBSTITUTE(SUBSTITUTE(SUBSTITUTE(E193,".",""),",",""),";",""),":",""),"!",""),"?",""),"""",""),"'",""),"’",""),"“",""),"”",""))))</f>
        <v/>
      </c>
      <c r="P193" s="46">
        <f>IF($A193="","",LOWER(TRIM(SUBSTITUTE(SUBSTITUTE(SUBSTITUTE(SUBSTITUTE(SUBSTITUTE(SUBSTITUTE(SUBSTITUTE(SUBSTITUTE(SUBSTITUTE(SUBSTITUTE(SUBSTITUTE(F193,".",""),",",""),";",""),":",""),"!",""),"?",""),"""",""),"'",""),"’",""),"“",""),"”",""))))</f>
        <v/>
      </c>
      <c r="Q193" s="46">
        <f>IF($A193="","",LOWER(TRIM(SUBSTITUTE(SUBSTITUTE(SUBSTITUTE(SUBSTITUTE(SUBSTITUTE(SUBSTITUTE(SUBSTITUTE(SUBSTITUTE(SUBSTITUTE(SUBSTITUTE(SUBSTITUTE(G193,".",""),",",""),";",""),":",""),"!",""),"?",""),"""",""),"'",""),"’",""),"“",""),"”",""))))</f>
        <v/>
      </c>
      <c r="R193" s="46">
        <f>IF($A193="","",LEN(O193))</f>
        <v/>
      </c>
      <c r="S193" s="46">
        <f>IF($A193="","",IF(O193="",0,LEN(O193)-LEN(SUBSTITUTE(O193," ",""))+1))</f>
        <v/>
      </c>
      <c r="T193" s="46">
        <f>IF($A193="","",IF(AND(O193&lt;&gt;"",OR(O193=M193,AND(N193&lt;&gt;"",ISNUMBER(FIND("|"&amp;O193&amp;"|","|"&amp;N193&amp;"|"))))),1,0))</f>
        <v/>
      </c>
      <c r="U193" s="46">
        <f>IF($A193="","",IF(AND(Q193&lt;&gt;"",OR(Q193=M193,AND(N193&lt;&gt;"",ISNUMBER(FIND("|"&amp;Q193&amp;"|","|"&amp;N193&amp;"|"))))),1,0))</f>
        <v/>
      </c>
      <c r="V193" s="46">
        <f>IF($A193="","",IF(P193=O193,1,0))</f>
        <v/>
      </c>
      <c r="W193" s="46">
        <f>IF($A193="","",IF(Q193=O193,1,0))</f>
        <v/>
      </c>
      <c r="X193" s="46">
        <f>IF(OR($A193="",$H193=""),"",IF(AND($H193=1,T193=1),"TA",IF(AND($H193=0,T193=1),"FA",IF($H193=1,"FR","TR"))))</f>
        <v/>
      </c>
      <c r="Y193" s="46">
        <f>IF(OR($A193="",$H193=""),"",IF(AND($H193=1,U193=1),"TA",IF(AND($H193=0,U193=1),"FA",IF($H193=1,"FR","TR"))))</f>
        <v/>
      </c>
    </row>
    <row r="194" ht="15" customHeight="1" s="28">
      <c r="A194" s="54" t="n"/>
      <c r="B194" s="54" t="n"/>
      <c r="C194" s="54" t="n"/>
      <c r="D194" s="54" t="n"/>
      <c r="E194" s="54" t="n"/>
      <c r="F194" s="54" t="n"/>
      <c r="G194" s="54" t="n"/>
      <c r="H194" s="54" t="n"/>
      <c r="I194" s="54" t="n"/>
      <c r="J194" s="54" t="n"/>
      <c r="K194" s="54" t="n"/>
      <c r="L194" s="54" t="n"/>
      <c r="M194" s="46">
        <f>IF($A194="","",LOWER(TRIM(SUBSTITUTE(SUBSTITUTE(SUBSTITUTE(SUBSTITUTE(SUBSTITUTE(SUBSTITUTE(SUBSTITUTE(SUBSTITUTE(SUBSTITUTE(SUBSTITUTE(SUBSTITUTE(C194,".",""),",",""),";",""),":",""),"!",""),"?",""),"""",""),"'",""),"’",""),"“",""),"”",""))))</f>
        <v/>
      </c>
      <c r="N194" s="46">
        <f>IF($A194="","",SUBSTITUTE(SUBSTITUTE(LOWER(TRIM(SUBSTITUTE(SUBSTITUTE(SUBSTITUTE(SUBSTITUTE(SUBSTITUTE(SUBSTITUTE(SUBSTITUTE(SUBSTITUTE(SUBSTITUTE(SUBSTITUTE(SUBSTITUTE(D194,".",""),",",""),";",""),":",""),"!",""),"?",""),"""",""),"'",""),"’",""),"“",""),"”","")))," |","|"),"| ","|"))</f>
        <v/>
      </c>
      <c r="O194" s="46">
        <f>IF($A194="","",LOWER(TRIM(SUBSTITUTE(SUBSTITUTE(SUBSTITUTE(SUBSTITUTE(SUBSTITUTE(SUBSTITUTE(SUBSTITUTE(SUBSTITUTE(SUBSTITUTE(SUBSTITUTE(SUBSTITUTE(E194,".",""),",",""),";",""),":",""),"!",""),"?",""),"""",""),"'",""),"’",""),"“",""),"”",""))))</f>
        <v/>
      </c>
      <c r="P194" s="46">
        <f>IF($A194="","",LOWER(TRIM(SUBSTITUTE(SUBSTITUTE(SUBSTITUTE(SUBSTITUTE(SUBSTITUTE(SUBSTITUTE(SUBSTITUTE(SUBSTITUTE(SUBSTITUTE(SUBSTITUTE(SUBSTITUTE(F194,".",""),",",""),";",""),":",""),"!",""),"?",""),"""",""),"'",""),"’",""),"“",""),"”",""))))</f>
        <v/>
      </c>
      <c r="Q194" s="46">
        <f>IF($A194="","",LOWER(TRIM(SUBSTITUTE(SUBSTITUTE(SUBSTITUTE(SUBSTITUTE(SUBSTITUTE(SUBSTITUTE(SUBSTITUTE(SUBSTITUTE(SUBSTITUTE(SUBSTITUTE(SUBSTITUTE(G194,".",""),",",""),";",""),":",""),"!",""),"?",""),"""",""),"'",""),"’",""),"“",""),"”",""))))</f>
        <v/>
      </c>
      <c r="R194" s="46">
        <f>IF($A194="","",LEN(O194))</f>
        <v/>
      </c>
      <c r="S194" s="46">
        <f>IF($A194="","",IF(O194="",0,LEN(O194)-LEN(SUBSTITUTE(O194," ",""))+1))</f>
        <v/>
      </c>
      <c r="T194" s="46">
        <f>IF($A194="","",IF(AND(O194&lt;&gt;"",OR(O194=M194,AND(N194&lt;&gt;"",ISNUMBER(FIND("|"&amp;O194&amp;"|","|"&amp;N194&amp;"|"))))),1,0))</f>
        <v/>
      </c>
      <c r="U194" s="46">
        <f>IF($A194="","",IF(AND(Q194&lt;&gt;"",OR(Q194=M194,AND(N194&lt;&gt;"",ISNUMBER(FIND("|"&amp;Q194&amp;"|","|"&amp;N194&amp;"|"))))),1,0))</f>
        <v/>
      </c>
      <c r="V194" s="46">
        <f>IF($A194="","",IF(P194=O194,1,0))</f>
        <v/>
      </c>
      <c r="W194" s="46">
        <f>IF($A194="","",IF(Q194=O194,1,0))</f>
        <v/>
      </c>
      <c r="X194" s="46">
        <f>IF(OR($A194="",$H194=""),"",IF(AND($H194=1,T194=1),"TA",IF(AND($H194=0,T194=1),"FA",IF($H194=1,"FR","TR"))))</f>
        <v/>
      </c>
      <c r="Y194" s="46">
        <f>IF(OR($A194="",$H194=""),"",IF(AND($H194=1,U194=1),"TA",IF(AND($H194=0,U194=1),"FA",IF($H194=1,"FR","TR"))))</f>
        <v/>
      </c>
    </row>
    <row r="195" ht="15" customHeight="1" s="28">
      <c r="A195" s="54" t="n"/>
      <c r="B195" s="54" t="n"/>
      <c r="C195" s="54" t="n"/>
      <c r="D195" s="54" t="n"/>
      <c r="E195" s="54" t="n"/>
      <c r="F195" s="54" t="n"/>
      <c r="G195" s="54" t="n"/>
      <c r="H195" s="54" t="n"/>
      <c r="I195" s="54" t="n"/>
      <c r="J195" s="54" t="n"/>
      <c r="K195" s="54" t="n"/>
      <c r="L195" s="54" t="n"/>
      <c r="M195" s="46">
        <f>IF($A195="","",LOWER(TRIM(SUBSTITUTE(SUBSTITUTE(SUBSTITUTE(SUBSTITUTE(SUBSTITUTE(SUBSTITUTE(SUBSTITUTE(SUBSTITUTE(SUBSTITUTE(SUBSTITUTE(SUBSTITUTE(C195,".",""),",",""),";",""),":",""),"!",""),"?",""),"""",""),"'",""),"’",""),"“",""),"”",""))))</f>
        <v/>
      </c>
      <c r="N195" s="46">
        <f>IF($A195="","",SUBSTITUTE(SUBSTITUTE(LOWER(TRIM(SUBSTITUTE(SUBSTITUTE(SUBSTITUTE(SUBSTITUTE(SUBSTITUTE(SUBSTITUTE(SUBSTITUTE(SUBSTITUTE(SUBSTITUTE(SUBSTITUTE(SUBSTITUTE(D195,".",""),",",""),";",""),":",""),"!",""),"?",""),"""",""),"'",""),"’",""),"“",""),"”","")))," |","|"),"| ","|"))</f>
        <v/>
      </c>
      <c r="O195" s="46">
        <f>IF($A195="","",LOWER(TRIM(SUBSTITUTE(SUBSTITUTE(SUBSTITUTE(SUBSTITUTE(SUBSTITUTE(SUBSTITUTE(SUBSTITUTE(SUBSTITUTE(SUBSTITUTE(SUBSTITUTE(SUBSTITUTE(E195,".",""),",",""),";",""),":",""),"!",""),"?",""),"""",""),"'",""),"’",""),"“",""),"”",""))))</f>
        <v/>
      </c>
      <c r="P195" s="46">
        <f>IF($A195="","",LOWER(TRIM(SUBSTITUTE(SUBSTITUTE(SUBSTITUTE(SUBSTITUTE(SUBSTITUTE(SUBSTITUTE(SUBSTITUTE(SUBSTITUTE(SUBSTITUTE(SUBSTITUTE(SUBSTITUTE(F195,".",""),",",""),";",""),":",""),"!",""),"?",""),"""",""),"'",""),"’",""),"“",""),"”",""))))</f>
        <v/>
      </c>
      <c r="Q195" s="46">
        <f>IF($A195="","",LOWER(TRIM(SUBSTITUTE(SUBSTITUTE(SUBSTITUTE(SUBSTITUTE(SUBSTITUTE(SUBSTITUTE(SUBSTITUTE(SUBSTITUTE(SUBSTITUTE(SUBSTITUTE(SUBSTITUTE(G195,".",""),",",""),";",""),":",""),"!",""),"?",""),"""",""),"'",""),"’",""),"“",""),"”",""))))</f>
        <v/>
      </c>
      <c r="R195" s="46">
        <f>IF($A195="","",LEN(O195))</f>
        <v/>
      </c>
      <c r="S195" s="46">
        <f>IF($A195="","",IF(O195="",0,LEN(O195)-LEN(SUBSTITUTE(O195," ",""))+1))</f>
        <v/>
      </c>
      <c r="T195" s="46">
        <f>IF($A195="","",IF(AND(O195&lt;&gt;"",OR(O195=M195,AND(N195&lt;&gt;"",ISNUMBER(FIND("|"&amp;O195&amp;"|","|"&amp;N195&amp;"|"))))),1,0))</f>
        <v/>
      </c>
      <c r="U195" s="46">
        <f>IF($A195="","",IF(AND(Q195&lt;&gt;"",OR(Q195=M195,AND(N195&lt;&gt;"",ISNUMBER(FIND("|"&amp;Q195&amp;"|","|"&amp;N195&amp;"|"))))),1,0))</f>
        <v/>
      </c>
      <c r="V195" s="46">
        <f>IF($A195="","",IF(P195=O195,1,0))</f>
        <v/>
      </c>
      <c r="W195" s="46">
        <f>IF($A195="","",IF(Q195=O195,1,0))</f>
        <v/>
      </c>
      <c r="X195" s="46">
        <f>IF(OR($A195="",$H195=""),"",IF(AND($H195=1,T195=1),"TA",IF(AND($H195=0,T195=1),"FA",IF($H195=1,"FR","TR"))))</f>
        <v/>
      </c>
      <c r="Y195" s="46">
        <f>IF(OR($A195="",$H195=""),"",IF(AND($H195=1,U195=1),"TA",IF(AND($H195=0,U195=1),"FA",IF($H195=1,"FR","TR"))))</f>
        <v/>
      </c>
    </row>
    <row r="196" ht="15" customHeight="1" s="28">
      <c r="A196" s="54" t="n"/>
      <c r="B196" s="54" t="n"/>
      <c r="C196" s="54" t="n"/>
      <c r="D196" s="54" t="n"/>
      <c r="E196" s="54" t="n"/>
      <c r="F196" s="54" t="n"/>
      <c r="G196" s="54" t="n"/>
      <c r="H196" s="54" t="n"/>
      <c r="I196" s="54" t="n"/>
      <c r="J196" s="54" t="n"/>
      <c r="K196" s="54" t="n"/>
      <c r="L196" s="54" t="n"/>
      <c r="M196" s="46">
        <f>IF($A196="","",LOWER(TRIM(SUBSTITUTE(SUBSTITUTE(SUBSTITUTE(SUBSTITUTE(SUBSTITUTE(SUBSTITUTE(SUBSTITUTE(SUBSTITUTE(SUBSTITUTE(SUBSTITUTE(SUBSTITUTE(C196,".",""),",",""),";",""),":",""),"!",""),"?",""),"""",""),"'",""),"’",""),"“",""),"”",""))))</f>
        <v/>
      </c>
      <c r="N196" s="46">
        <f>IF($A196="","",SUBSTITUTE(SUBSTITUTE(LOWER(TRIM(SUBSTITUTE(SUBSTITUTE(SUBSTITUTE(SUBSTITUTE(SUBSTITUTE(SUBSTITUTE(SUBSTITUTE(SUBSTITUTE(SUBSTITUTE(SUBSTITUTE(SUBSTITUTE(D196,".",""),",",""),";",""),":",""),"!",""),"?",""),"""",""),"'",""),"’",""),"“",""),"”","")))," |","|"),"| ","|"))</f>
        <v/>
      </c>
      <c r="O196" s="46">
        <f>IF($A196="","",LOWER(TRIM(SUBSTITUTE(SUBSTITUTE(SUBSTITUTE(SUBSTITUTE(SUBSTITUTE(SUBSTITUTE(SUBSTITUTE(SUBSTITUTE(SUBSTITUTE(SUBSTITUTE(SUBSTITUTE(E196,".",""),",",""),";",""),":",""),"!",""),"?",""),"""",""),"'",""),"’",""),"“",""),"”",""))))</f>
        <v/>
      </c>
      <c r="P196" s="46">
        <f>IF($A196="","",LOWER(TRIM(SUBSTITUTE(SUBSTITUTE(SUBSTITUTE(SUBSTITUTE(SUBSTITUTE(SUBSTITUTE(SUBSTITUTE(SUBSTITUTE(SUBSTITUTE(SUBSTITUTE(SUBSTITUTE(F196,".",""),",",""),";",""),":",""),"!",""),"?",""),"""",""),"'",""),"’",""),"“",""),"”",""))))</f>
        <v/>
      </c>
      <c r="Q196" s="46">
        <f>IF($A196="","",LOWER(TRIM(SUBSTITUTE(SUBSTITUTE(SUBSTITUTE(SUBSTITUTE(SUBSTITUTE(SUBSTITUTE(SUBSTITUTE(SUBSTITUTE(SUBSTITUTE(SUBSTITUTE(SUBSTITUTE(G196,".",""),",",""),";",""),":",""),"!",""),"?",""),"""",""),"'",""),"’",""),"“",""),"”",""))))</f>
        <v/>
      </c>
      <c r="R196" s="46">
        <f>IF($A196="","",LEN(O196))</f>
        <v/>
      </c>
      <c r="S196" s="46">
        <f>IF($A196="","",IF(O196="",0,LEN(O196)-LEN(SUBSTITUTE(O196," ",""))+1))</f>
        <v/>
      </c>
      <c r="T196" s="46">
        <f>IF($A196="","",IF(AND(O196&lt;&gt;"",OR(O196=M196,AND(N196&lt;&gt;"",ISNUMBER(FIND("|"&amp;O196&amp;"|","|"&amp;N196&amp;"|"))))),1,0))</f>
        <v/>
      </c>
      <c r="U196" s="46">
        <f>IF($A196="","",IF(AND(Q196&lt;&gt;"",OR(Q196=M196,AND(N196&lt;&gt;"",ISNUMBER(FIND("|"&amp;Q196&amp;"|","|"&amp;N196&amp;"|"))))),1,0))</f>
        <v/>
      </c>
      <c r="V196" s="46">
        <f>IF($A196="","",IF(P196=O196,1,0))</f>
        <v/>
      </c>
      <c r="W196" s="46">
        <f>IF($A196="","",IF(Q196=O196,1,0))</f>
        <v/>
      </c>
      <c r="X196" s="46">
        <f>IF(OR($A196="",$H196=""),"",IF(AND($H196=1,T196=1),"TA",IF(AND($H196=0,T196=1),"FA",IF($H196=1,"FR","TR"))))</f>
        <v/>
      </c>
      <c r="Y196" s="46">
        <f>IF(OR($A196="",$H196=""),"",IF(AND($H196=1,U196=1),"TA",IF(AND($H196=0,U196=1),"FA",IF($H196=1,"FR","TR"))))</f>
        <v/>
      </c>
    </row>
    <row r="197" ht="15" customHeight="1" s="28">
      <c r="A197" s="54" t="n"/>
      <c r="B197" s="54" t="n"/>
      <c r="C197" s="54" t="n"/>
      <c r="D197" s="54" t="n"/>
      <c r="E197" s="54" t="n"/>
      <c r="F197" s="54" t="n"/>
      <c r="G197" s="54" t="n"/>
      <c r="H197" s="54" t="n"/>
      <c r="I197" s="54" t="n"/>
      <c r="J197" s="54" t="n"/>
      <c r="K197" s="54" t="n"/>
      <c r="L197" s="54" t="n"/>
      <c r="M197" s="46">
        <f>IF($A197="","",LOWER(TRIM(SUBSTITUTE(SUBSTITUTE(SUBSTITUTE(SUBSTITUTE(SUBSTITUTE(SUBSTITUTE(SUBSTITUTE(SUBSTITUTE(SUBSTITUTE(SUBSTITUTE(SUBSTITUTE(C197,".",""),",",""),";",""),":",""),"!",""),"?",""),"""",""),"'",""),"’",""),"“",""),"”",""))))</f>
        <v/>
      </c>
      <c r="N197" s="46">
        <f>IF($A197="","",SUBSTITUTE(SUBSTITUTE(LOWER(TRIM(SUBSTITUTE(SUBSTITUTE(SUBSTITUTE(SUBSTITUTE(SUBSTITUTE(SUBSTITUTE(SUBSTITUTE(SUBSTITUTE(SUBSTITUTE(SUBSTITUTE(SUBSTITUTE(D197,".",""),",",""),";",""),":",""),"!",""),"?",""),"""",""),"'",""),"’",""),"“",""),"”","")))," |","|"),"| ","|"))</f>
        <v/>
      </c>
      <c r="O197" s="46">
        <f>IF($A197="","",LOWER(TRIM(SUBSTITUTE(SUBSTITUTE(SUBSTITUTE(SUBSTITUTE(SUBSTITUTE(SUBSTITUTE(SUBSTITUTE(SUBSTITUTE(SUBSTITUTE(SUBSTITUTE(SUBSTITUTE(E197,".",""),",",""),";",""),":",""),"!",""),"?",""),"""",""),"'",""),"’",""),"“",""),"”",""))))</f>
        <v/>
      </c>
      <c r="P197" s="46">
        <f>IF($A197="","",LOWER(TRIM(SUBSTITUTE(SUBSTITUTE(SUBSTITUTE(SUBSTITUTE(SUBSTITUTE(SUBSTITUTE(SUBSTITUTE(SUBSTITUTE(SUBSTITUTE(SUBSTITUTE(SUBSTITUTE(F197,".",""),",",""),";",""),":",""),"!",""),"?",""),"""",""),"'",""),"’",""),"“",""),"”",""))))</f>
        <v/>
      </c>
      <c r="Q197" s="46">
        <f>IF($A197="","",LOWER(TRIM(SUBSTITUTE(SUBSTITUTE(SUBSTITUTE(SUBSTITUTE(SUBSTITUTE(SUBSTITUTE(SUBSTITUTE(SUBSTITUTE(SUBSTITUTE(SUBSTITUTE(SUBSTITUTE(G197,".",""),",",""),";",""),":",""),"!",""),"?",""),"""",""),"'",""),"’",""),"“",""),"”",""))))</f>
        <v/>
      </c>
      <c r="R197" s="46">
        <f>IF($A197="","",LEN(O197))</f>
        <v/>
      </c>
      <c r="S197" s="46">
        <f>IF($A197="","",IF(O197="",0,LEN(O197)-LEN(SUBSTITUTE(O197," ",""))+1))</f>
        <v/>
      </c>
      <c r="T197" s="46">
        <f>IF($A197="","",IF(AND(O197&lt;&gt;"",OR(O197=M197,AND(N197&lt;&gt;"",ISNUMBER(FIND("|"&amp;O197&amp;"|","|"&amp;N197&amp;"|"))))),1,0))</f>
        <v/>
      </c>
      <c r="U197" s="46">
        <f>IF($A197="","",IF(AND(Q197&lt;&gt;"",OR(Q197=M197,AND(N197&lt;&gt;"",ISNUMBER(FIND("|"&amp;Q197&amp;"|","|"&amp;N197&amp;"|"))))),1,0))</f>
        <v/>
      </c>
      <c r="V197" s="46">
        <f>IF($A197="","",IF(P197=O197,1,0))</f>
        <v/>
      </c>
      <c r="W197" s="46">
        <f>IF($A197="","",IF(Q197=O197,1,0))</f>
        <v/>
      </c>
      <c r="X197" s="46">
        <f>IF(OR($A197="",$H197=""),"",IF(AND($H197=1,T197=1),"TA",IF(AND($H197=0,T197=1),"FA",IF($H197=1,"FR","TR"))))</f>
        <v/>
      </c>
      <c r="Y197" s="46">
        <f>IF(OR($A197="",$H197=""),"",IF(AND($H197=1,U197=1),"TA",IF(AND($H197=0,U197=1),"FA",IF($H197=1,"FR","TR"))))</f>
        <v/>
      </c>
    </row>
    <row r="198" ht="15" customHeight="1" s="28">
      <c r="A198" s="54" t="n"/>
      <c r="B198" s="54" t="n"/>
      <c r="C198" s="54" t="n"/>
      <c r="D198" s="54" t="n"/>
      <c r="E198" s="54" t="n"/>
      <c r="F198" s="54" t="n"/>
      <c r="G198" s="54" t="n"/>
      <c r="H198" s="54" t="n"/>
      <c r="I198" s="54" t="n"/>
      <c r="J198" s="54" t="n"/>
      <c r="K198" s="54" t="n"/>
      <c r="L198" s="54" t="n"/>
      <c r="M198" s="46">
        <f>IF($A198="","",LOWER(TRIM(SUBSTITUTE(SUBSTITUTE(SUBSTITUTE(SUBSTITUTE(SUBSTITUTE(SUBSTITUTE(SUBSTITUTE(SUBSTITUTE(SUBSTITUTE(SUBSTITUTE(SUBSTITUTE(C198,".",""),",",""),";",""),":",""),"!",""),"?",""),"""",""),"'",""),"’",""),"“",""),"”",""))))</f>
        <v/>
      </c>
      <c r="N198" s="46">
        <f>IF($A198="","",SUBSTITUTE(SUBSTITUTE(LOWER(TRIM(SUBSTITUTE(SUBSTITUTE(SUBSTITUTE(SUBSTITUTE(SUBSTITUTE(SUBSTITUTE(SUBSTITUTE(SUBSTITUTE(SUBSTITUTE(SUBSTITUTE(SUBSTITUTE(D198,".",""),",",""),";",""),":",""),"!",""),"?",""),"""",""),"'",""),"’",""),"“",""),"”","")))," |","|"),"| ","|"))</f>
        <v/>
      </c>
      <c r="O198" s="46">
        <f>IF($A198="","",LOWER(TRIM(SUBSTITUTE(SUBSTITUTE(SUBSTITUTE(SUBSTITUTE(SUBSTITUTE(SUBSTITUTE(SUBSTITUTE(SUBSTITUTE(SUBSTITUTE(SUBSTITUTE(SUBSTITUTE(E198,".",""),",",""),";",""),":",""),"!",""),"?",""),"""",""),"'",""),"’",""),"“",""),"”",""))))</f>
        <v/>
      </c>
      <c r="P198" s="46">
        <f>IF($A198="","",LOWER(TRIM(SUBSTITUTE(SUBSTITUTE(SUBSTITUTE(SUBSTITUTE(SUBSTITUTE(SUBSTITUTE(SUBSTITUTE(SUBSTITUTE(SUBSTITUTE(SUBSTITUTE(SUBSTITUTE(F198,".",""),",",""),";",""),":",""),"!",""),"?",""),"""",""),"'",""),"’",""),"“",""),"”",""))))</f>
        <v/>
      </c>
      <c r="Q198" s="46">
        <f>IF($A198="","",LOWER(TRIM(SUBSTITUTE(SUBSTITUTE(SUBSTITUTE(SUBSTITUTE(SUBSTITUTE(SUBSTITUTE(SUBSTITUTE(SUBSTITUTE(SUBSTITUTE(SUBSTITUTE(SUBSTITUTE(G198,".",""),",",""),";",""),":",""),"!",""),"?",""),"""",""),"'",""),"’",""),"“",""),"”",""))))</f>
        <v/>
      </c>
      <c r="R198" s="46">
        <f>IF($A198="","",LEN(O198))</f>
        <v/>
      </c>
      <c r="S198" s="46">
        <f>IF($A198="","",IF(O198="",0,LEN(O198)-LEN(SUBSTITUTE(O198," ",""))+1))</f>
        <v/>
      </c>
      <c r="T198" s="46">
        <f>IF($A198="","",IF(AND(O198&lt;&gt;"",OR(O198=M198,AND(N198&lt;&gt;"",ISNUMBER(FIND("|"&amp;O198&amp;"|","|"&amp;N198&amp;"|"))))),1,0))</f>
        <v/>
      </c>
      <c r="U198" s="46">
        <f>IF($A198="","",IF(AND(Q198&lt;&gt;"",OR(Q198=M198,AND(N198&lt;&gt;"",ISNUMBER(FIND("|"&amp;Q198&amp;"|","|"&amp;N198&amp;"|"))))),1,0))</f>
        <v/>
      </c>
      <c r="V198" s="46">
        <f>IF($A198="","",IF(P198=O198,1,0))</f>
        <v/>
      </c>
      <c r="W198" s="46">
        <f>IF($A198="","",IF(Q198=O198,1,0))</f>
        <v/>
      </c>
      <c r="X198" s="46">
        <f>IF(OR($A198="",$H198=""),"",IF(AND($H198=1,T198=1),"TA",IF(AND($H198=0,T198=1),"FA",IF($H198=1,"FR","TR"))))</f>
        <v/>
      </c>
      <c r="Y198" s="46">
        <f>IF(OR($A198="",$H198=""),"",IF(AND($H198=1,U198=1),"TA",IF(AND($H198=0,U198=1),"FA",IF($H198=1,"FR","TR"))))</f>
        <v/>
      </c>
    </row>
    <row r="199" ht="15" customHeight="1" s="28">
      <c r="A199" s="54" t="n"/>
      <c r="B199" s="54" t="n"/>
      <c r="C199" s="54" t="n"/>
      <c r="D199" s="54" t="n"/>
      <c r="E199" s="54" t="n"/>
      <c r="F199" s="54" t="n"/>
      <c r="G199" s="54" t="n"/>
      <c r="H199" s="54" t="n"/>
      <c r="I199" s="54" t="n"/>
      <c r="J199" s="54" t="n"/>
      <c r="K199" s="54" t="n"/>
      <c r="L199" s="54" t="n"/>
      <c r="M199" s="46">
        <f>IF($A199="","",LOWER(TRIM(SUBSTITUTE(SUBSTITUTE(SUBSTITUTE(SUBSTITUTE(SUBSTITUTE(SUBSTITUTE(SUBSTITUTE(SUBSTITUTE(SUBSTITUTE(SUBSTITUTE(SUBSTITUTE(C199,".",""),",",""),";",""),":",""),"!",""),"?",""),"""",""),"'",""),"’",""),"“",""),"”",""))))</f>
        <v/>
      </c>
      <c r="N199" s="46">
        <f>IF($A199="","",SUBSTITUTE(SUBSTITUTE(LOWER(TRIM(SUBSTITUTE(SUBSTITUTE(SUBSTITUTE(SUBSTITUTE(SUBSTITUTE(SUBSTITUTE(SUBSTITUTE(SUBSTITUTE(SUBSTITUTE(SUBSTITUTE(SUBSTITUTE(D199,".",""),",",""),";",""),":",""),"!",""),"?",""),"""",""),"'",""),"’",""),"“",""),"”","")))," |","|"),"| ","|"))</f>
        <v/>
      </c>
      <c r="O199" s="46">
        <f>IF($A199="","",LOWER(TRIM(SUBSTITUTE(SUBSTITUTE(SUBSTITUTE(SUBSTITUTE(SUBSTITUTE(SUBSTITUTE(SUBSTITUTE(SUBSTITUTE(SUBSTITUTE(SUBSTITUTE(SUBSTITUTE(E199,".",""),",",""),";",""),":",""),"!",""),"?",""),"""",""),"'",""),"’",""),"“",""),"”",""))))</f>
        <v/>
      </c>
      <c r="P199" s="46">
        <f>IF($A199="","",LOWER(TRIM(SUBSTITUTE(SUBSTITUTE(SUBSTITUTE(SUBSTITUTE(SUBSTITUTE(SUBSTITUTE(SUBSTITUTE(SUBSTITUTE(SUBSTITUTE(SUBSTITUTE(SUBSTITUTE(F199,".",""),",",""),";",""),":",""),"!",""),"?",""),"""",""),"'",""),"’",""),"“",""),"”",""))))</f>
        <v/>
      </c>
      <c r="Q199" s="46">
        <f>IF($A199="","",LOWER(TRIM(SUBSTITUTE(SUBSTITUTE(SUBSTITUTE(SUBSTITUTE(SUBSTITUTE(SUBSTITUTE(SUBSTITUTE(SUBSTITUTE(SUBSTITUTE(SUBSTITUTE(SUBSTITUTE(G199,".",""),",",""),";",""),":",""),"!",""),"?",""),"""",""),"'",""),"’",""),"“",""),"”",""))))</f>
        <v/>
      </c>
      <c r="R199" s="46">
        <f>IF($A199="","",LEN(O199))</f>
        <v/>
      </c>
      <c r="S199" s="46">
        <f>IF($A199="","",IF(O199="",0,LEN(O199)-LEN(SUBSTITUTE(O199," ",""))+1))</f>
        <v/>
      </c>
      <c r="T199" s="46">
        <f>IF($A199="","",IF(AND(O199&lt;&gt;"",OR(O199=M199,AND(N199&lt;&gt;"",ISNUMBER(FIND("|"&amp;O199&amp;"|","|"&amp;N199&amp;"|"))))),1,0))</f>
        <v/>
      </c>
      <c r="U199" s="46">
        <f>IF($A199="","",IF(AND(Q199&lt;&gt;"",OR(Q199=M199,AND(N199&lt;&gt;"",ISNUMBER(FIND("|"&amp;Q199&amp;"|","|"&amp;N199&amp;"|"))))),1,0))</f>
        <v/>
      </c>
      <c r="V199" s="46">
        <f>IF($A199="","",IF(P199=O199,1,0))</f>
        <v/>
      </c>
      <c r="W199" s="46">
        <f>IF($A199="","",IF(Q199=O199,1,0))</f>
        <v/>
      </c>
      <c r="X199" s="46">
        <f>IF(OR($A199="",$H199=""),"",IF(AND($H199=1,T199=1),"TA",IF(AND($H199=0,T199=1),"FA",IF($H199=1,"FR","TR"))))</f>
        <v/>
      </c>
      <c r="Y199" s="46">
        <f>IF(OR($A199="",$H199=""),"",IF(AND($H199=1,U199=1),"TA",IF(AND($H199=0,U199=1),"FA",IF($H199=1,"FR","TR"))))</f>
        <v/>
      </c>
    </row>
    <row r="200" ht="15" customHeight="1" s="28">
      <c r="A200" s="54" t="n"/>
      <c r="B200" s="54" t="n"/>
      <c r="C200" s="54" t="n"/>
      <c r="D200" s="54" t="n"/>
      <c r="E200" s="54" t="n"/>
      <c r="F200" s="54" t="n"/>
      <c r="G200" s="54" t="n"/>
      <c r="H200" s="54" t="n"/>
      <c r="I200" s="54" t="n"/>
      <c r="J200" s="54" t="n"/>
      <c r="K200" s="54" t="n"/>
      <c r="L200" s="54" t="n"/>
      <c r="M200" s="46">
        <f>IF($A200="","",LOWER(TRIM(SUBSTITUTE(SUBSTITUTE(SUBSTITUTE(SUBSTITUTE(SUBSTITUTE(SUBSTITUTE(SUBSTITUTE(SUBSTITUTE(SUBSTITUTE(SUBSTITUTE(SUBSTITUTE(C200,".",""),",",""),";",""),":",""),"!",""),"?",""),"""",""),"'",""),"’",""),"“",""),"”",""))))</f>
        <v/>
      </c>
      <c r="N200" s="46">
        <f>IF($A200="","",SUBSTITUTE(SUBSTITUTE(LOWER(TRIM(SUBSTITUTE(SUBSTITUTE(SUBSTITUTE(SUBSTITUTE(SUBSTITUTE(SUBSTITUTE(SUBSTITUTE(SUBSTITUTE(SUBSTITUTE(SUBSTITUTE(SUBSTITUTE(D200,".",""),",",""),";",""),":",""),"!",""),"?",""),"""",""),"'",""),"’",""),"“",""),"”","")))," |","|"),"| ","|"))</f>
        <v/>
      </c>
      <c r="O200" s="46">
        <f>IF($A200="","",LOWER(TRIM(SUBSTITUTE(SUBSTITUTE(SUBSTITUTE(SUBSTITUTE(SUBSTITUTE(SUBSTITUTE(SUBSTITUTE(SUBSTITUTE(SUBSTITUTE(SUBSTITUTE(SUBSTITUTE(E200,".",""),",",""),";",""),":",""),"!",""),"?",""),"""",""),"'",""),"’",""),"“",""),"”",""))))</f>
        <v/>
      </c>
      <c r="P200" s="46">
        <f>IF($A200="","",LOWER(TRIM(SUBSTITUTE(SUBSTITUTE(SUBSTITUTE(SUBSTITUTE(SUBSTITUTE(SUBSTITUTE(SUBSTITUTE(SUBSTITUTE(SUBSTITUTE(SUBSTITUTE(SUBSTITUTE(F200,".",""),",",""),";",""),":",""),"!",""),"?",""),"""",""),"'",""),"’",""),"“",""),"”",""))))</f>
        <v/>
      </c>
      <c r="Q200" s="46">
        <f>IF($A200="","",LOWER(TRIM(SUBSTITUTE(SUBSTITUTE(SUBSTITUTE(SUBSTITUTE(SUBSTITUTE(SUBSTITUTE(SUBSTITUTE(SUBSTITUTE(SUBSTITUTE(SUBSTITUTE(SUBSTITUTE(G200,".",""),",",""),";",""),":",""),"!",""),"?",""),"""",""),"'",""),"’",""),"“",""),"”",""))))</f>
        <v/>
      </c>
      <c r="R200" s="46">
        <f>IF($A200="","",LEN(O200))</f>
        <v/>
      </c>
      <c r="S200" s="46">
        <f>IF($A200="","",IF(O200="",0,LEN(O200)-LEN(SUBSTITUTE(O200," ",""))+1))</f>
        <v/>
      </c>
      <c r="T200" s="46">
        <f>IF($A200="","",IF(AND(O200&lt;&gt;"",OR(O200=M200,AND(N200&lt;&gt;"",ISNUMBER(FIND("|"&amp;O200&amp;"|","|"&amp;N200&amp;"|"))))),1,0))</f>
        <v/>
      </c>
      <c r="U200" s="46">
        <f>IF($A200="","",IF(AND(Q200&lt;&gt;"",OR(Q200=M200,AND(N200&lt;&gt;"",ISNUMBER(FIND("|"&amp;Q200&amp;"|","|"&amp;N200&amp;"|"))))),1,0))</f>
        <v/>
      </c>
      <c r="V200" s="46">
        <f>IF($A200="","",IF(P200=O200,1,0))</f>
        <v/>
      </c>
      <c r="W200" s="46">
        <f>IF($A200="","",IF(Q200=O200,1,0))</f>
        <v/>
      </c>
      <c r="X200" s="46">
        <f>IF(OR($A200="",$H200=""),"",IF(AND($H200=1,T200=1),"TA",IF(AND($H200=0,T200=1),"FA",IF($H200=1,"FR","TR"))))</f>
        <v/>
      </c>
      <c r="Y200" s="46">
        <f>IF(OR($A200="",$H200=""),"",IF(AND($H200=1,U200=1),"TA",IF(AND($H200=0,U200=1),"FA",IF($H200=1,"FR","TR"))))</f>
        <v/>
      </c>
    </row>
    <row r="201" ht="15" customHeight="1" s="28">
      <c r="A201" s="54" t="n"/>
      <c r="B201" s="54" t="n"/>
      <c r="C201" s="54" t="n"/>
      <c r="D201" s="54" t="n"/>
      <c r="E201" s="54" t="n"/>
      <c r="F201" s="54" t="n"/>
      <c r="G201" s="54" t="n"/>
      <c r="H201" s="54" t="n"/>
      <c r="I201" s="54" t="n"/>
      <c r="J201" s="54" t="n"/>
      <c r="K201" s="54" t="n"/>
      <c r="L201" s="54" t="n"/>
      <c r="M201" s="46">
        <f>IF($A201="","",LOWER(TRIM(SUBSTITUTE(SUBSTITUTE(SUBSTITUTE(SUBSTITUTE(SUBSTITUTE(SUBSTITUTE(SUBSTITUTE(SUBSTITUTE(SUBSTITUTE(SUBSTITUTE(SUBSTITUTE(C201,".",""),",",""),";",""),":",""),"!",""),"?",""),"""",""),"'",""),"’",""),"“",""),"”",""))))</f>
        <v/>
      </c>
      <c r="N201" s="46">
        <f>IF($A201="","",SUBSTITUTE(SUBSTITUTE(LOWER(TRIM(SUBSTITUTE(SUBSTITUTE(SUBSTITUTE(SUBSTITUTE(SUBSTITUTE(SUBSTITUTE(SUBSTITUTE(SUBSTITUTE(SUBSTITUTE(SUBSTITUTE(SUBSTITUTE(D201,".",""),",",""),";",""),":",""),"!",""),"?",""),"""",""),"'",""),"’",""),"“",""),"”","")))," |","|"),"| ","|"))</f>
        <v/>
      </c>
      <c r="O201" s="46">
        <f>IF($A201="","",LOWER(TRIM(SUBSTITUTE(SUBSTITUTE(SUBSTITUTE(SUBSTITUTE(SUBSTITUTE(SUBSTITUTE(SUBSTITUTE(SUBSTITUTE(SUBSTITUTE(SUBSTITUTE(SUBSTITUTE(E201,".",""),",",""),";",""),":",""),"!",""),"?",""),"""",""),"'",""),"’",""),"“",""),"”",""))))</f>
        <v/>
      </c>
      <c r="P201" s="46">
        <f>IF($A201="","",LOWER(TRIM(SUBSTITUTE(SUBSTITUTE(SUBSTITUTE(SUBSTITUTE(SUBSTITUTE(SUBSTITUTE(SUBSTITUTE(SUBSTITUTE(SUBSTITUTE(SUBSTITUTE(SUBSTITUTE(F201,".",""),",",""),";",""),":",""),"!",""),"?",""),"""",""),"'",""),"’",""),"“",""),"”",""))))</f>
        <v/>
      </c>
      <c r="Q201" s="46">
        <f>IF($A201="","",LOWER(TRIM(SUBSTITUTE(SUBSTITUTE(SUBSTITUTE(SUBSTITUTE(SUBSTITUTE(SUBSTITUTE(SUBSTITUTE(SUBSTITUTE(SUBSTITUTE(SUBSTITUTE(SUBSTITUTE(G201,".",""),",",""),";",""),":",""),"!",""),"?",""),"""",""),"'",""),"’",""),"“",""),"”",""))))</f>
        <v/>
      </c>
      <c r="R201" s="46">
        <f>IF($A201="","",LEN(O201))</f>
        <v/>
      </c>
      <c r="S201" s="46">
        <f>IF($A201="","",IF(O201="",0,LEN(O201)-LEN(SUBSTITUTE(O201," ",""))+1))</f>
        <v/>
      </c>
      <c r="T201" s="46">
        <f>IF($A201="","",IF(AND(O201&lt;&gt;"",OR(O201=M201,AND(N201&lt;&gt;"",ISNUMBER(FIND("|"&amp;O201&amp;"|","|"&amp;N201&amp;"|"))))),1,0))</f>
        <v/>
      </c>
      <c r="U201" s="46">
        <f>IF($A201="","",IF(AND(Q201&lt;&gt;"",OR(Q201=M201,AND(N201&lt;&gt;"",ISNUMBER(FIND("|"&amp;Q201&amp;"|","|"&amp;N201&amp;"|"))))),1,0))</f>
        <v/>
      </c>
      <c r="V201" s="46">
        <f>IF($A201="","",IF(P201=O201,1,0))</f>
        <v/>
      </c>
      <c r="W201" s="46">
        <f>IF($A201="","",IF(Q201=O201,1,0))</f>
        <v/>
      </c>
      <c r="X201" s="46">
        <f>IF(OR($A201="",$H201=""),"",IF(AND($H201=1,T201=1),"TA",IF(AND($H201=0,T201=1),"FA",IF($H201=1,"FR","TR"))))</f>
        <v/>
      </c>
      <c r="Y201" s="46">
        <f>IF(OR($A201="",$H201=""),"",IF(AND($H201=1,U201=1),"TA",IF(AND($H201=0,U201=1),"FA",IF($H201=1,"FR","TR"))))</f>
        <v/>
      </c>
    </row>
    <row r="202" ht="15" customHeight="1" s="28">
      <c r="A202" s="54" t="n"/>
      <c r="B202" s="54" t="n"/>
      <c r="C202" s="54" t="n"/>
      <c r="D202" s="54" t="n"/>
      <c r="E202" s="54" t="n"/>
      <c r="F202" s="54" t="n"/>
      <c r="G202" s="54" t="n"/>
      <c r="H202" s="54" t="n"/>
      <c r="I202" s="54" t="n"/>
      <c r="J202" s="54" t="n"/>
      <c r="K202" s="54" t="n"/>
      <c r="L202" s="54" t="n"/>
      <c r="M202" s="46">
        <f>IF($A202="","",LOWER(TRIM(SUBSTITUTE(SUBSTITUTE(SUBSTITUTE(SUBSTITUTE(SUBSTITUTE(SUBSTITUTE(SUBSTITUTE(SUBSTITUTE(SUBSTITUTE(SUBSTITUTE(SUBSTITUTE(C202,".",""),",",""),";",""),":",""),"!",""),"?",""),"""",""),"'",""),"’",""),"“",""),"”",""))))</f>
        <v/>
      </c>
      <c r="N202" s="46">
        <f>IF($A202="","",SUBSTITUTE(SUBSTITUTE(LOWER(TRIM(SUBSTITUTE(SUBSTITUTE(SUBSTITUTE(SUBSTITUTE(SUBSTITUTE(SUBSTITUTE(SUBSTITUTE(SUBSTITUTE(SUBSTITUTE(SUBSTITUTE(SUBSTITUTE(D202,".",""),",",""),";",""),":",""),"!",""),"?",""),"""",""),"'",""),"’",""),"“",""),"”","")))," |","|"),"| ","|"))</f>
        <v/>
      </c>
      <c r="O202" s="46">
        <f>IF($A202="","",LOWER(TRIM(SUBSTITUTE(SUBSTITUTE(SUBSTITUTE(SUBSTITUTE(SUBSTITUTE(SUBSTITUTE(SUBSTITUTE(SUBSTITUTE(SUBSTITUTE(SUBSTITUTE(SUBSTITUTE(E202,".",""),",",""),";",""),":",""),"!",""),"?",""),"""",""),"'",""),"’",""),"“",""),"”",""))))</f>
        <v/>
      </c>
      <c r="P202" s="46">
        <f>IF($A202="","",LOWER(TRIM(SUBSTITUTE(SUBSTITUTE(SUBSTITUTE(SUBSTITUTE(SUBSTITUTE(SUBSTITUTE(SUBSTITUTE(SUBSTITUTE(SUBSTITUTE(SUBSTITUTE(SUBSTITUTE(F202,".",""),",",""),";",""),":",""),"!",""),"?",""),"""",""),"'",""),"’",""),"“",""),"”",""))))</f>
        <v/>
      </c>
      <c r="Q202" s="46">
        <f>IF($A202="","",LOWER(TRIM(SUBSTITUTE(SUBSTITUTE(SUBSTITUTE(SUBSTITUTE(SUBSTITUTE(SUBSTITUTE(SUBSTITUTE(SUBSTITUTE(SUBSTITUTE(SUBSTITUTE(SUBSTITUTE(G202,".",""),",",""),";",""),":",""),"!",""),"?",""),"""",""),"'",""),"’",""),"“",""),"”",""))))</f>
        <v/>
      </c>
      <c r="R202" s="46">
        <f>IF($A202="","",LEN(O202))</f>
        <v/>
      </c>
      <c r="S202" s="46">
        <f>IF($A202="","",IF(O202="",0,LEN(O202)-LEN(SUBSTITUTE(O202," ",""))+1))</f>
        <v/>
      </c>
      <c r="T202" s="46">
        <f>IF($A202="","",IF(AND(O202&lt;&gt;"",OR(O202=M202,AND(N202&lt;&gt;"",ISNUMBER(FIND("|"&amp;O202&amp;"|","|"&amp;N202&amp;"|"))))),1,0))</f>
        <v/>
      </c>
      <c r="U202" s="46">
        <f>IF($A202="","",IF(AND(Q202&lt;&gt;"",OR(Q202=M202,AND(N202&lt;&gt;"",ISNUMBER(FIND("|"&amp;Q202&amp;"|","|"&amp;N202&amp;"|"))))),1,0))</f>
        <v/>
      </c>
      <c r="V202" s="46">
        <f>IF($A202="","",IF(P202=O202,1,0))</f>
        <v/>
      </c>
      <c r="W202" s="46">
        <f>IF($A202="","",IF(Q202=O202,1,0))</f>
        <v/>
      </c>
      <c r="X202" s="46">
        <f>IF(OR($A202="",$H202=""),"",IF(AND($H202=1,T202=1),"TA",IF(AND($H202=0,T202=1),"FA",IF($H202=1,"FR","TR"))))</f>
        <v/>
      </c>
      <c r="Y202" s="46">
        <f>IF(OR($A202="",$H202=""),"",IF(AND($H202=1,U202=1),"TA",IF(AND($H202=0,U202=1),"FA",IF($H202=1,"FR","TR"))))</f>
        <v/>
      </c>
    </row>
    <row r="203" ht="15" customHeight="1" s="28">
      <c r="A203" s="54" t="n"/>
      <c r="B203" s="54" t="n"/>
      <c r="C203" s="54" t="n"/>
      <c r="D203" s="54" t="n"/>
      <c r="E203" s="54" t="n"/>
      <c r="F203" s="54" t="n"/>
      <c r="G203" s="54" t="n"/>
      <c r="H203" s="54" t="n"/>
      <c r="I203" s="54" t="n"/>
      <c r="J203" s="54" t="n"/>
      <c r="K203" s="54" t="n"/>
      <c r="L203" s="54" t="n"/>
      <c r="M203" s="46">
        <f>IF($A203="","",LOWER(TRIM(SUBSTITUTE(SUBSTITUTE(SUBSTITUTE(SUBSTITUTE(SUBSTITUTE(SUBSTITUTE(SUBSTITUTE(SUBSTITUTE(SUBSTITUTE(SUBSTITUTE(SUBSTITUTE(C203,".",""),",",""),";",""),":",""),"!",""),"?",""),"""",""),"'",""),"’",""),"“",""),"”",""))))</f>
        <v/>
      </c>
      <c r="N203" s="46">
        <f>IF($A203="","",SUBSTITUTE(SUBSTITUTE(LOWER(TRIM(SUBSTITUTE(SUBSTITUTE(SUBSTITUTE(SUBSTITUTE(SUBSTITUTE(SUBSTITUTE(SUBSTITUTE(SUBSTITUTE(SUBSTITUTE(SUBSTITUTE(SUBSTITUTE(D203,".",""),",",""),";",""),":",""),"!",""),"?",""),"""",""),"'",""),"’",""),"“",""),"”","")))," |","|"),"| ","|"))</f>
        <v/>
      </c>
      <c r="O203" s="46">
        <f>IF($A203="","",LOWER(TRIM(SUBSTITUTE(SUBSTITUTE(SUBSTITUTE(SUBSTITUTE(SUBSTITUTE(SUBSTITUTE(SUBSTITUTE(SUBSTITUTE(SUBSTITUTE(SUBSTITUTE(SUBSTITUTE(E203,".",""),",",""),";",""),":",""),"!",""),"?",""),"""",""),"'",""),"’",""),"“",""),"”",""))))</f>
        <v/>
      </c>
      <c r="P203" s="46">
        <f>IF($A203="","",LOWER(TRIM(SUBSTITUTE(SUBSTITUTE(SUBSTITUTE(SUBSTITUTE(SUBSTITUTE(SUBSTITUTE(SUBSTITUTE(SUBSTITUTE(SUBSTITUTE(SUBSTITUTE(SUBSTITUTE(F203,".",""),",",""),";",""),":",""),"!",""),"?",""),"""",""),"'",""),"’",""),"“",""),"”",""))))</f>
        <v/>
      </c>
      <c r="Q203" s="46">
        <f>IF($A203="","",LOWER(TRIM(SUBSTITUTE(SUBSTITUTE(SUBSTITUTE(SUBSTITUTE(SUBSTITUTE(SUBSTITUTE(SUBSTITUTE(SUBSTITUTE(SUBSTITUTE(SUBSTITUTE(SUBSTITUTE(G203,".",""),",",""),";",""),":",""),"!",""),"?",""),"""",""),"'",""),"’",""),"“",""),"”",""))))</f>
        <v/>
      </c>
      <c r="R203" s="46">
        <f>IF($A203="","",LEN(O203))</f>
        <v/>
      </c>
      <c r="S203" s="46">
        <f>IF($A203="","",IF(O203="",0,LEN(O203)-LEN(SUBSTITUTE(O203," ",""))+1))</f>
        <v/>
      </c>
      <c r="T203" s="46">
        <f>IF($A203="","",IF(AND(O203&lt;&gt;"",OR(O203=M203,AND(N203&lt;&gt;"",ISNUMBER(FIND("|"&amp;O203&amp;"|","|"&amp;N203&amp;"|"))))),1,0))</f>
        <v/>
      </c>
      <c r="U203" s="46">
        <f>IF($A203="","",IF(AND(Q203&lt;&gt;"",OR(Q203=M203,AND(N203&lt;&gt;"",ISNUMBER(FIND("|"&amp;Q203&amp;"|","|"&amp;N203&amp;"|"))))),1,0))</f>
        <v/>
      </c>
      <c r="V203" s="46">
        <f>IF($A203="","",IF(P203=O203,1,0))</f>
        <v/>
      </c>
      <c r="W203" s="46">
        <f>IF($A203="","",IF(Q203=O203,1,0))</f>
        <v/>
      </c>
      <c r="X203" s="46">
        <f>IF(OR($A203="",$H203=""),"",IF(AND($H203=1,T203=1),"TA",IF(AND($H203=0,T203=1),"FA",IF($H203=1,"FR","TR"))))</f>
        <v/>
      </c>
      <c r="Y203" s="46">
        <f>IF(OR($A203="",$H203=""),"",IF(AND($H203=1,U203=1),"TA",IF(AND($H203=0,U203=1),"FA",IF($H203=1,"FR","TR"))))</f>
        <v/>
      </c>
    </row>
    <row r="204" ht="15" customHeight="1" s="28">
      <c r="A204" s="54" t="n"/>
      <c r="B204" s="54" t="n"/>
      <c r="C204" s="54" t="n"/>
      <c r="D204" s="54" t="n"/>
      <c r="E204" s="54" t="n"/>
      <c r="F204" s="54" t="n"/>
      <c r="G204" s="54" t="n"/>
      <c r="H204" s="54" t="n"/>
      <c r="I204" s="54" t="n"/>
      <c r="J204" s="54" t="n"/>
      <c r="K204" s="54" t="n"/>
      <c r="L204" s="54" t="n"/>
      <c r="M204" s="46">
        <f>IF($A204="","",LOWER(TRIM(SUBSTITUTE(SUBSTITUTE(SUBSTITUTE(SUBSTITUTE(SUBSTITUTE(SUBSTITUTE(SUBSTITUTE(SUBSTITUTE(SUBSTITUTE(SUBSTITUTE(SUBSTITUTE(C204,".",""),",",""),";",""),":",""),"!",""),"?",""),"""",""),"'",""),"’",""),"“",""),"”",""))))</f>
        <v/>
      </c>
      <c r="N204" s="46">
        <f>IF($A204="","",SUBSTITUTE(SUBSTITUTE(LOWER(TRIM(SUBSTITUTE(SUBSTITUTE(SUBSTITUTE(SUBSTITUTE(SUBSTITUTE(SUBSTITUTE(SUBSTITUTE(SUBSTITUTE(SUBSTITUTE(SUBSTITUTE(SUBSTITUTE(D204,".",""),",",""),";",""),":",""),"!",""),"?",""),"""",""),"'",""),"’",""),"“",""),"”","")))," |","|"),"| ","|"))</f>
        <v/>
      </c>
      <c r="O204" s="46">
        <f>IF($A204="","",LOWER(TRIM(SUBSTITUTE(SUBSTITUTE(SUBSTITUTE(SUBSTITUTE(SUBSTITUTE(SUBSTITUTE(SUBSTITUTE(SUBSTITUTE(SUBSTITUTE(SUBSTITUTE(SUBSTITUTE(E204,".",""),",",""),";",""),":",""),"!",""),"?",""),"""",""),"'",""),"’",""),"“",""),"”",""))))</f>
        <v/>
      </c>
      <c r="P204" s="46">
        <f>IF($A204="","",LOWER(TRIM(SUBSTITUTE(SUBSTITUTE(SUBSTITUTE(SUBSTITUTE(SUBSTITUTE(SUBSTITUTE(SUBSTITUTE(SUBSTITUTE(SUBSTITUTE(SUBSTITUTE(SUBSTITUTE(F204,".",""),",",""),";",""),":",""),"!",""),"?",""),"""",""),"'",""),"’",""),"“",""),"”",""))))</f>
        <v/>
      </c>
      <c r="Q204" s="46">
        <f>IF($A204="","",LOWER(TRIM(SUBSTITUTE(SUBSTITUTE(SUBSTITUTE(SUBSTITUTE(SUBSTITUTE(SUBSTITUTE(SUBSTITUTE(SUBSTITUTE(SUBSTITUTE(SUBSTITUTE(SUBSTITUTE(G204,".",""),",",""),";",""),":",""),"!",""),"?",""),"""",""),"'",""),"’",""),"“",""),"”",""))))</f>
        <v/>
      </c>
      <c r="R204" s="46">
        <f>IF($A204="","",LEN(O204))</f>
        <v/>
      </c>
      <c r="S204" s="46">
        <f>IF($A204="","",IF(O204="",0,LEN(O204)-LEN(SUBSTITUTE(O204," ",""))+1))</f>
        <v/>
      </c>
      <c r="T204" s="46">
        <f>IF($A204="","",IF(AND(O204&lt;&gt;"",OR(O204=M204,AND(N204&lt;&gt;"",ISNUMBER(FIND("|"&amp;O204&amp;"|","|"&amp;N204&amp;"|"))))),1,0))</f>
        <v/>
      </c>
      <c r="U204" s="46">
        <f>IF($A204="","",IF(AND(Q204&lt;&gt;"",OR(Q204=M204,AND(N204&lt;&gt;"",ISNUMBER(FIND("|"&amp;Q204&amp;"|","|"&amp;N204&amp;"|"))))),1,0))</f>
        <v/>
      </c>
      <c r="V204" s="46">
        <f>IF($A204="","",IF(P204=O204,1,0))</f>
        <v/>
      </c>
      <c r="W204" s="46">
        <f>IF($A204="","",IF(Q204=O204,1,0))</f>
        <v/>
      </c>
      <c r="X204" s="46">
        <f>IF(OR($A204="",$H204=""),"",IF(AND($H204=1,T204=1),"TA",IF(AND($H204=0,T204=1),"FA",IF($H204=1,"FR","TR"))))</f>
        <v/>
      </c>
      <c r="Y204" s="46">
        <f>IF(OR($A204="",$H204=""),"",IF(AND($H204=1,U204=1),"TA",IF(AND($H204=0,U204=1),"FA",IF($H204=1,"FR","TR"))))</f>
        <v/>
      </c>
    </row>
    <row r="205">
      <c r="A205" s="54" t="n"/>
      <c r="B205" s="54" t="n"/>
      <c r="C205" s="54" t="n"/>
      <c r="D205" s="54" t="n"/>
      <c r="E205" s="54" t="n"/>
      <c r="F205" s="54" t="n"/>
      <c r="G205" s="54" t="n"/>
      <c r="H205" s="54" t="n"/>
      <c r="I205" s="54" t="n"/>
      <c r="J205" s="54" t="n"/>
      <c r="K205" s="54" t="n"/>
      <c r="L205" s="54" t="n"/>
      <c r="M205" s="46">
        <f>IF($A205="","",LOWER(TRIM(SUBSTITUTE(SUBSTITUTE(SUBSTITUTE(SUBSTITUTE(SUBSTITUTE(SUBSTITUTE(SUBSTITUTE(SUBSTITUTE(SUBSTITUTE(SUBSTITUTE(SUBSTITUTE(C205,".",""),",",""),";",""),":",""),"!",""),"?",""),"""",""),"'",""),"’",""),"“",""),"”",""))))</f>
        <v/>
      </c>
      <c r="N205" s="46">
        <f>IF($A205="","",SUBSTITUTE(SUBSTITUTE(LOWER(TRIM(SUBSTITUTE(SUBSTITUTE(SUBSTITUTE(SUBSTITUTE(SUBSTITUTE(SUBSTITUTE(SUBSTITUTE(SUBSTITUTE(SUBSTITUTE(SUBSTITUTE(SUBSTITUTE(D205,".",""),",",""),";",""),":",""),"!",""),"?",""),"""",""),"'",""),"’",""),"“",""),"”","")))," |","|"),"| ","|"))</f>
        <v/>
      </c>
      <c r="O205" s="46">
        <f>IF($A205="","",LOWER(TRIM(SUBSTITUTE(SUBSTITUTE(SUBSTITUTE(SUBSTITUTE(SUBSTITUTE(SUBSTITUTE(SUBSTITUTE(SUBSTITUTE(SUBSTITUTE(SUBSTITUTE(SUBSTITUTE(E205,".",""),",",""),";",""),":",""),"!",""),"?",""),"""",""),"'",""),"’",""),"“",""),"”",""))))</f>
        <v/>
      </c>
      <c r="P205" s="46">
        <f>IF($A205="","",LOWER(TRIM(SUBSTITUTE(SUBSTITUTE(SUBSTITUTE(SUBSTITUTE(SUBSTITUTE(SUBSTITUTE(SUBSTITUTE(SUBSTITUTE(SUBSTITUTE(SUBSTITUTE(SUBSTITUTE(F205,".",""),",",""),";",""),":",""),"!",""),"?",""),"""",""),"'",""),"’",""),"“",""),"”",""))))</f>
        <v/>
      </c>
      <c r="Q205" s="46">
        <f>IF($A205="","",LOWER(TRIM(SUBSTITUTE(SUBSTITUTE(SUBSTITUTE(SUBSTITUTE(SUBSTITUTE(SUBSTITUTE(SUBSTITUTE(SUBSTITUTE(SUBSTITUTE(SUBSTITUTE(SUBSTITUTE(G205,".",""),",",""),";",""),":",""),"!",""),"?",""),"""",""),"'",""),"’",""),"“",""),"”",""))))</f>
        <v/>
      </c>
      <c r="R205" s="46">
        <f>IF($A205="","",LEN(O205))</f>
        <v/>
      </c>
      <c r="S205" s="46">
        <f>IF($A205="","",IF(O205="",0,LEN(O205)-LEN(SUBSTITUTE(O205," ",""))+1))</f>
        <v/>
      </c>
      <c r="T205" s="46">
        <f>IF($A205="","",IF(AND(O205&lt;&gt;"",OR(O205=M205,AND(N205&lt;&gt;"",ISNUMBER(FIND("|"&amp;O205&amp;"|","|"&amp;N205&amp;"|"))))),1,0))</f>
        <v/>
      </c>
      <c r="U205" s="46">
        <f>IF($A205="","",IF(AND(Q205&lt;&gt;"",OR(Q205=M205,AND(N205&lt;&gt;"",ISNUMBER(FIND("|"&amp;Q205&amp;"|","|"&amp;N205&amp;"|"))))),1,0))</f>
        <v/>
      </c>
      <c r="V205" s="46">
        <f>IF($A205="","",IF(P205=O205,1,0))</f>
        <v/>
      </c>
      <c r="W205" s="46">
        <f>IF($A205="","",IF(Q205=O205,1,0))</f>
        <v/>
      </c>
      <c r="X205" s="46">
        <f>IF(OR($A205="",$H205=""),"",IF(AND($H205=1,T205=1),"TA",IF(AND($H205=0,T205=1),"FA",IF($H205=1,"FR","TR"))))</f>
        <v/>
      </c>
      <c r="Y205" s="46">
        <f>IF(OR($A205="",$H205=""),"",IF(AND($H205=1,U205=1),"TA",IF(AND($H205=0,U205=1),"FA",IF($H205=1,"FR","TR"))))</f>
        <v/>
      </c>
    </row>
    <row r="206">
      <c r="A206" s="54" t="n"/>
      <c r="B206" s="54" t="n"/>
      <c r="C206" s="54" t="n"/>
      <c r="D206" s="54" t="n"/>
      <c r="E206" s="54" t="n"/>
      <c r="F206" s="54" t="n"/>
      <c r="G206" s="54" t="n"/>
      <c r="H206" s="54" t="n"/>
      <c r="I206" s="54" t="n"/>
      <c r="J206" s="54" t="n"/>
      <c r="K206" s="54" t="n"/>
      <c r="L206" s="54" t="n"/>
      <c r="M206" s="46">
        <f>IF($A206="","",LOWER(TRIM(SUBSTITUTE(SUBSTITUTE(SUBSTITUTE(SUBSTITUTE(SUBSTITUTE(SUBSTITUTE(SUBSTITUTE(SUBSTITUTE(SUBSTITUTE(SUBSTITUTE(SUBSTITUTE(C206,".",""),",",""),";",""),":",""),"!",""),"?",""),"""",""),"'",""),"’",""),"“",""),"”",""))))</f>
        <v/>
      </c>
      <c r="N206" s="46">
        <f>IF($A206="","",SUBSTITUTE(SUBSTITUTE(LOWER(TRIM(SUBSTITUTE(SUBSTITUTE(SUBSTITUTE(SUBSTITUTE(SUBSTITUTE(SUBSTITUTE(SUBSTITUTE(SUBSTITUTE(SUBSTITUTE(SUBSTITUTE(SUBSTITUTE(D206,".",""),",",""),";",""),":",""),"!",""),"?",""),"""",""),"'",""),"’",""),"“",""),"”","")))," |","|"),"| ","|"))</f>
        <v/>
      </c>
      <c r="O206" s="46">
        <f>IF($A206="","",LOWER(TRIM(SUBSTITUTE(SUBSTITUTE(SUBSTITUTE(SUBSTITUTE(SUBSTITUTE(SUBSTITUTE(SUBSTITUTE(SUBSTITUTE(SUBSTITUTE(SUBSTITUTE(SUBSTITUTE(E206,".",""),",",""),";",""),":",""),"!",""),"?",""),"""",""),"'",""),"’",""),"“",""),"”",""))))</f>
        <v/>
      </c>
      <c r="P206" s="46">
        <f>IF($A206="","",LOWER(TRIM(SUBSTITUTE(SUBSTITUTE(SUBSTITUTE(SUBSTITUTE(SUBSTITUTE(SUBSTITUTE(SUBSTITUTE(SUBSTITUTE(SUBSTITUTE(SUBSTITUTE(SUBSTITUTE(F206,".",""),",",""),";",""),":",""),"!",""),"?",""),"""",""),"'",""),"’",""),"“",""),"”",""))))</f>
        <v/>
      </c>
      <c r="Q206" s="46">
        <f>IF($A206="","",LOWER(TRIM(SUBSTITUTE(SUBSTITUTE(SUBSTITUTE(SUBSTITUTE(SUBSTITUTE(SUBSTITUTE(SUBSTITUTE(SUBSTITUTE(SUBSTITUTE(SUBSTITUTE(SUBSTITUTE(G206,".",""),",",""),";",""),":",""),"!",""),"?",""),"""",""),"'",""),"’",""),"“",""),"”",""))))</f>
        <v/>
      </c>
      <c r="R206" s="46">
        <f>IF($A206="","",LEN(O206))</f>
        <v/>
      </c>
      <c r="S206" s="46">
        <f>IF($A206="","",IF(O206="",0,LEN(O206)-LEN(SUBSTITUTE(O206," ",""))+1))</f>
        <v/>
      </c>
      <c r="T206" s="46">
        <f>IF($A206="","",IF(AND(O206&lt;&gt;"",OR(O206=M206,AND(N206&lt;&gt;"",ISNUMBER(FIND("|"&amp;O206&amp;"|","|"&amp;N206&amp;"|"))))),1,0))</f>
        <v/>
      </c>
      <c r="U206" s="46">
        <f>IF($A206="","",IF(AND(Q206&lt;&gt;"",OR(Q206=M206,AND(N206&lt;&gt;"",ISNUMBER(FIND("|"&amp;Q206&amp;"|","|"&amp;N206&amp;"|"))))),1,0))</f>
        <v/>
      </c>
      <c r="V206" s="46">
        <f>IF($A206="","",IF(P206=O206,1,0))</f>
        <v/>
      </c>
      <c r="W206" s="46">
        <f>IF($A206="","",IF(Q206=O206,1,0))</f>
        <v/>
      </c>
      <c r="X206" s="46">
        <f>IF(OR($A206="",$H206=""),"",IF(AND($H206=1,T206=1),"TA",IF(AND($H206=0,T206=1),"FA",IF($H206=1,"FR","TR"))))</f>
        <v/>
      </c>
      <c r="Y206" s="46">
        <f>IF(OR($A206="",$H206=""),"",IF(AND($H206=1,U206=1),"TA",IF(AND($H206=0,U206=1),"FA",IF($H206=1,"FR","TR"))))</f>
        <v/>
      </c>
    </row>
    <row r="207">
      <c r="A207" s="54" t="n"/>
      <c r="B207" s="54" t="n"/>
      <c r="C207" s="54" t="n"/>
      <c r="D207" s="54" t="n"/>
      <c r="E207" s="54" t="n"/>
      <c r="F207" s="54" t="n"/>
      <c r="G207" s="54" t="n"/>
      <c r="H207" s="54" t="n"/>
      <c r="I207" s="54" t="n"/>
      <c r="J207" s="54" t="n"/>
      <c r="K207" s="54" t="n"/>
      <c r="L207" s="54" t="n"/>
      <c r="M207" s="46">
        <f>IF($A207="","",LOWER(TRIM(SUBSTITUTE(SUBSTITUTE(SUBSTITUTE(SUBSTITUTE(SUBSTITUTE(SUBSTITUTE(SUBSTITUTE(SUBSTITUTE(SUBSTITUTE(SUBSTITUTE(SUBSTITUTE(C207,".",""),",",""),";",""),":",""),"!",""),"?",""),"""",""),"'",""),"’",""),"“",""),"”",""))))</f>
        <v/>
      </c>
      <c r="N207" s="46">
        <f>IF($A207="","",SUBSTITUTE(SUBSTITUTE(LOWER(TRIM(SUBSTITUTE(SUBSTITUTE(SUBSTITUTE(SUBSTITUTE(SUBSTITUTE(SUBSTITUTE(SUBSTITUTE(SUBSTITUTE(SUBSTITUTE(SUBSTITUTE(SUBSTITUTE(D207,".",""),",",""),";",""),":",""),"!",""),"?",""),"""",""),"'",""),"’",""),"“",""),"”","")))," |","|"),"| ","|"))</f>
        <v/>
      </c>
      <c r="O207" s="46">
        <f>IF($A207="","",LOWER(TRIM(SUBSTITUTE(SUBSTITUTE(SUBSTITUTE(SUBSTITUTE(SUBSTITUTE(SUBSTITUTE(SUBSTITUTE(SUBSTITUTE(SUBSTITUTE(SUBSTITUTE(SUBSTITUTE(E207,".",""),",",""),";",""),":",""),"!",""),"?",""),"""",""),"'",""),"’",""),"“",""),"”",""))))</f>
        <v/>
      </c>
      <c r="P207" s="46">
        <f>IF($A207="","",LOWER(TRIM(SUBSTITUTE(SUBSTITUTE(SUBSTITUTE(SUBSTITUTE(SUBSTITUTE(SUBSTITUTE(SUBSTITUTE(SUBSTITUTE(SUBSTITUTE(SUBSTITUTE(SUBSTITUTE(F207,".",""),",",""),";",""),":",""),"!",""),"?",""),"""",""),"'",""),"’",""),"“",""),"”",""))))</f>
        <v/>
      </c>
      <c r="Q207" s="46">
        <f>IF($A207="","",LOWER(TRIM(SUBSTITUTE(SUBSTITUTE(SUBSTITUTE(SUBSTITUTE(SUBSTITUTE(SUBSTITUTE(SUBSTITUTE(SUBSTITUTE(SUBSTITUTE(SUBSTITUTE(SUBSTITUTE(G207,".",""),",",""),";",""),":",""),"!",""),"?",""),"""",""),"'",""),"’",""),"“",""),"”",""))))</f>
        <v/>
      </c>
      <c r="R207" s="46">
        <f>IF($A207="","",LEN(O207))</f>
        <v/>
      </c>
      <c r="S207" s="46">
        <f>IF($A207="","",IF(O207="",0,LEN(O207)-LEN(SUBSTITUTE(O207," ",""))+1))</f>
        <v/>
      </c>
      <c r="T207" s="46">
        <f>IF($A207="","",IF(AND(O207&lt;&gt;"",OR(O207=M207,AND(N207&lt;&gt;"",ISNUMBER(FIND("|"&amp;O207&amp;"|","|"&amp;N207&amp;"|"))))),1,0))</f>
        <v/>
      </c>
      <c r="U207" s="46">
        <f>IF($A207="","",IF(AND(Q207&lt;&gt;"",OR(Q207=M207,AND(N207&lt;&gt;"",ISNUMBER(FIND("|"&amp;Q207&amp;"|","|"&amp;N207&amp;"|"))))),1,0))</f>
        <v/>
      </c>
      <c r="V207" s="46">
        <f>IF($A207="","",IF(P207=O207,1,0))</f>
        <v/>
      </c>
      <c r="W207" s="46">
        <f>IF($A207="","",IF(Q207=O207,1,0))</f>
        <v/>
      </c>
      <c r="X207" s="46">
        <f>IF(OR($A207="",$H207=""),"",IF(AND($H207=1,T207=1),"TA",IF(AND($H207=0,T207=1),"FA",IF($H207=1,"FR","TR"))))</f>
        <v/>
      </c>
      <c r="Y207" s="46">
        <f>IF(OR($A207="",$H207=""),"",IF(AND($H207=1,U207=1),"TA",IF(AND($H207=0,U207=1),"FA",IF($H207=1,"FR","TR"))))</f>
        <v/>
      </c>
    </row>
    <row r="208">
      <c r="A208" s="54" t="n"/>
      <c r="B208" s="54" t="n"/>
      <c r="C208" s="54" t="n"/>
      <c r="D208" s="54" t="n"/>
      <c r="E208" s="54" t="n"/>
      <c r="F208" s="54" t="n"/>
      <c r="G208" s="54" t="n"/>
      <c r="H208" s="54" t="n"/>
      <c r="I208" s="54" t="n"/>
      <c r="J208" s="54" t="n"/>
      <c r="K208" s="54" t="n"/>
      <c r="L208" s="54" t="n"/>
      <c r="M208" s="46">
        <f>IF($A208="","",LOWER(TRIM(SUBSTITUTE(SUBSTITUTE(SUBSTITUTE(SUBSTITUTE(SUBSTITUTE(SUBSTITUTE(SUBSTITUTE(SUBSTITUTE(SUBSTITUTE(SUBSTITUTE(SUBSTITUTE(C208,".",""),",",""),";",""),":",""),"!",""),"?",""),"""",""),"'",""),"’",""),"“",""),"”",""))))</f>
        <v/>
      </c>
      <c r="N208" s="46">
        <f>IF($A208="","",SUBSTITUTE(SUBSTITUTE(LOWER(TRIM(SUBSTITUTE(SUBSTITUTE(SUBSTITUTE(SUBSTITUTE(SUBSTITUTE(SUBSTITUTE(SUBSTITUTE(SUBSTITUTE(SUBSTITUTE(SUBSTITUTE(SUBSTITUTE(D208,".",""),",",""),";",""),":",""),"!",""),"?",""),"""",""),"'",""),"’",""),"“",""),"”","")))," |","|"),"| ","|"))</f>
        <v/>
      </c>
      <c r="O208" s="46">
        <f>IF($A208="","",LOWER(TRIM(SUBSTITUTE(SUBSTITUTE(SUBSTITUTE(SUBSTITUTE(SUBSTITUTE(SUBSTITUTE(SUBSTITUTE(SUBSTITUTE(SUBSTITUTE(SUBSTITUTE(SUBSTITUTE(E208,".",""),",",""),";",""),":",""),"!",""),"?",""),"""",""),"'",""),"’",""),"“",""),"”",""))))</f>
        <v/>
      </c>
      <c r="P208" s="46">
        <f>IF($A208="","",LOWER(TRIM(SUBSTITUTE(SUBSTITUTE(SUBSTITUTE(SUBSTITUTE(SUBSTITUTE(SUBSTITUTE(SUBSTITUTE(SUBSTITUTE(SUBSTITUTE(SUBSTITUTE(SUBSTITUTE(F208,".",""),",",""),";",""),":",""),"!",""),"?",""),"""",""),"'",""),"’",""),"“",""),"”",""))))</f>
        <v/>
      </c>
      <c r="Q208" s="46">
        <f>IF($A208="","",LOWER(TRIM(SUBSTITUTE(SUBSTITUTE(SUBSTITUTE(SUBSTITUTE(SUBSTITUTE(SUBSTITUTE(SUBSTITUTE(SUBSTITUTE(SUBSTITUTE(SUBSTITUTE(SUBSTITUTE(G208,".",""),",",""),";",""),":",""),"!",""),"?",""),"""",""),"'",""),"’",""),"“",""),"”",""))))</f>
        <v/>
      </c>
      <c r="R208" s="46">
        <f>IF($A208="","",LEN(O208))</f>
        <v/>
      </c>
      <c r="S208" s="46">
        <f>IF($A208="","",IF(O208="",0,LEN(O208)-LEN(SUBSTITUTE(O208," ",""))+1))</f>
        <v/>
      </c>
      <c r="T208" s="46">
        <f>IF($A208="","",IF(AND(O208&lt;&gt;"",OR(O208=M208,AND(N208&lt;&gt;"",ISNUMBER(FIND("|"&amp;O208&amp;"|","|"&amp;N208&amp;"|"))))),1,0))</f>
        <v/>
      </c>
      <c r="U208" s="46">
        <f>IF($A208="","",IF(AND(Q208&lt;&gt;"",OR(Q208=M208,AND(N208&lt;&gt;"",ISNUMBER(FIND("|"&amp;Q208&amp;"|","|"&amp;N208&amp;"|"))))),1,0))</f>
        <v/>
      </c>
      <c r="V208" s="46">
        <f>IF($A208="","",IF(P208=O208,1,0))</f>
        <v/>
      </c>
      <c r="W208" s="46">
        <f>IF($A208="","",IF(Q208=O208,1,0))</f>
        <v/>
      </c>
      <c r="X208" s="46">
        <f>IF(OR($A208="",$H208=""),"",IF(AND($H208=1,T208=1),"TA",IF(AND($H208=0,T208=1),"FA",IF($H208=1,"FR","TR"))))</f>
        <v/>
      </c>
      <c r="Y208" s="46">
        <f>IF(OR($A208="",$H208=""),"",IF(AND($H208=1,U208=1),"TA",IF(AND($H208=0,U208=1),"FA",IF($H208=1,"FR","TR"))))</f>
        <v/>
      </c>
    </row>
    <row r="209">
      <c r="A209" s="54" t="n"/>
      <c r="B209" s="54" t="n"/>
      <c r="C209" s="54" t="n"/>
      <c r="D209" s="54" t="n"/>
      <c r="E209" s="54" t="n"/>
      <c r="F209" s="54" t="n"/>
      <c r="G209" s="54" t="n"/>
      <c r="H209" s="54" t="n"/>
      <c r="I209" s="54" t="n"/>
      <c r="J209" s="54" t="n"/>
      <c r="K209" s="54" t="n"/>
      <c r="L209" s="54" t="n"/>
      <c r="M209" s="46">
        <f>IF($A209="","",LOWER(TRIM(SUBSTITUTE(SUBSTITUTE(SUBSTITUTE(SUBSTITUTE(SUBSTITUTE(SUBSTITUTE(SUBSTITUTE(SUBSTITUTE(SUBSTITUTE(SUBSTITUTE(SUBSTITUTE(C209,".",""),",",""),";",""),":",""),"!",""),"?",""),"""",""),"'",""),"’",""),"“",""),"”",""))))</f>
        <v/>
      </c>
      <c r="N209" s="46">
        <f>IF($A209="","",SUBSTITUTE(SUBSTITUTE(LOWER(TRIM(SUBSTITUTE(SUBSTITUTE(SUBSTITUTE(SUBSTITUTE(SUBSTITUTE(SUBSTITUTE(SUBSTITUTE(SUBSTITUTE(SUBSTITUTE(SUBSTITUTE(SUBSTITUTE(D209,".",""),",",""),";",""),":",""),"!",""),"?",""),"""",""),"'",""),"’",""),"“",""),"”","")))," |","|"),"| ","|"))</f>
        <v/>
      </c>
      <c r="O209" s="46">
        <f>IF($A209="","",LOWER(TRIM(SUBSTITUTE(SUBSTITUTE(SUBSTITUTE(SUBSTITUTE(SUBSTITUTE(SUBSTITUTE(SUBSTITUTE(SUBSTITUTE(SUBSTITUTE(SUBSTITUTE(SUBSTITUTE(E209,".",""),",",""),";",""),":",""),"!",""),"?",""),"""",""),"'",""),"’",""),"“",""),"”",""))))</f>
        <v/>
      </c>
      <c r="P209" s="46">
        <f>IF($A209="","",LOWER(TRIM(SUBSTITUTE(SUBSTITUTE(SUBSTITUTE(SUBSTITUTE(SUBSTITUTE(SUBSTITUTE(SUBSTITUTE(SUBSTITUTE(SUBSTITUTE(SUBSTITUTE(SUBSTITUTE(F209,".",""),",",""),";",""),":",""),"!",""),"?",""),"""",""),"'",""),"’",""),"“",""),"”",""))))</f>
        <v/>
      </c>
      <c r="Q209" s="46">
        <f>IF($A209="","",LOWER(TRIM(SUBSTITUTE(SUBSTITUTE(SUBSTITUTE(SUBSTITUTE(SUBSTITUTE(SUBSTITUTE(SUBSTITUTE(SUBSTITUTE(SUBSTITUTE(SUBSTITUTE(SUBSTITUTE(G209,".",""),",",""),";",""),":",""),"!",""),"?",""),"""",""),"'",""),"’",""),"“",""),"”",""))))</f>
        <v/>
      </c>
      <c r="R209" s="46">
        <f>IF($A209="","",LEN(O209))</f>
        <v/>
      </c>
      <c r="S209" s="46">
        <f>IF($A209="","",IF(O209="",0,LEN(O209)-LEN(SUBSTITUTE(O209," ",""))+1))</f>
        <v/>
      </c>
      <c r="T209" s="46">
        <f>IF($A209="","",IF(AND(O209&lt;&gt;"",OR(O209=M209,AND(N209&lt;&gt;"",ISNUMBER(FIND("|"&amp;O209&amp;"|","|"&amp;N209&amp;"|"))))),1,0))</f>
        <v/>
      </c>
      <c r="U209" s="46">
        <f>IF($A209="","",IF(AND(Q209&lt;&gt;"",OR(Q209=M209,AND(N209&lt;&gt;"",ISNUMBER(FIND("|"&amp;Q209&amp;"|","|"&amp;N209&amp;"|"))))),1,0))</f>
        <v/>
      </c>
      <c r="V209" s="46">
        <f>IF($A209="","",IF(P209=O209,1,0))</f>
        <v/>
      </c>
      <c r="W209" s="46">
        <f>IF($A209="","",IF(Q209=O209,1,0))</f>
        <v/>
      </c>
      <c r="X209" s="46">
        <f>IF(OR($A209="",$H209=""),"",IF(AND($H209=1,T209=1),"TA",IF(AND($H209=0,T209=1),"FA",IF($H209=1,"FR","TR"))))</f>
        <v/>
      </c>
      <c r="Y209" s="46">
        <f>IF(OR($A209="",$H209=""),"",IF(AND($H209=1,U209=1),"TA",IF(AND($H209=0,U209=1),"FA",IF($H209=1,"FR","TR"))))</f>
        <v/>
      </c>
    </row>
    <row r="210">
      <c r="A210" s="54" t="n"/>
      <c r="B210" s="54" t="n"/>
      <c r="C210" s="54" t="n"/>
      <c r="D210" s="54" t="n"/>
      <c r="E210" s="54" t="n"/>
      <c r="F210" s="54" t="n"/>
      <c r="G210" s="54" t="n"/>
      <c r="H210" s="54" t="n"/>
      <c r="I210" s="54" t="n"/>
      <c r="J210" s="54" t="n"/>
      <c r="K210" s="54" t="n"/>
      <c r="L210" s="54" t="n"/>
      <c r="M210" s="46">
        <f>IF($A210="","",LOWER(TRIM(SUBSTITUTE(SUBSTITUTE(SUBSTITUTE(SUBSTITUTE(SUBSTITUTE(SUBSTITUTE(SUBSTITUTE(SUBSTITUTE(SUBSTITUTE(SUBSTITUTE(SUBSTITUTE(C210,".",""),",",""),";",""),":",""),"!",""),"?",""),"""",""),"'",""),"’",""),"“",""),"”",""))))</f>
        <v/>
      </c>
      <c r="N210" s="46">
        <f>IF($A210="","",SUBSTITUTE(SUBSTITUTE(LOWER(TRIM(SUBSTITUTE(SUBSTITUTE(SUBSTITUTE(SUBSTITUTE(SUBSTITUTE(SUBSTITUTE(SUBSTITUTE(SUBSTITUTE(SUBSTITUTE(SUBSTITUTE(SUBSTITUTE(D210,".",""),",",""),";",""),":",""),"!",""),"?",""),"""",""),"'",""),"’",""),"“",""),"”","")))," |","|"),"| ","|"))</f>
        <v/>
      </c>
      <c r="O210" s="46">
        <f>IF($A210="","",LOWER(TRIM(SUBSTITUTE(SUBSTITUTE(SUBSTITUTE(SUBSTITUTE(SUBSTITUTE(SUBSTITUTE(SUBSTITUTE(SUBSTITUTE(SUBSTITUTE(SUBSTITUTE(SUBSTITUTE(E210,".",""),",",""),";",""),":",""),"!",""),"?",""),"""",""),"'",""),"’",""),"“",""),"”",""))))</f>
        <v/>
      </c>
      <c r="P210" s="46">
        <f>IF($A210="","",LOWER(TRIM(SUBSTITUTE(SUBSTITUTE(SUBSTITUTE(SUBSTITUTE(SUBSTITUTE(SUBSTITUTE(SUBSTITUTE(SUBSTITUTE(SUBSTITUTE(SUBSTITUTE(SUBSTITUTE(F210,".",""),",",""),";",""),":",""),"!",""),"?",""),"""",""),"'",""),"’",""),"“",""),"”",""))))</f>
        <v/>
      </c>
      <c r="Q210" s="46">
        <f>IF($A210="","",LOWER(TRIM(SUBSTITUTE(SUBSTITUTE(SUBSTITUTE(SUBSTITUTE(SUBSTITUTE(SUBSTITUTE(SUBSTITUTE(SUBSTITUTE(SUBSTITUTE(SUBSTITUTE(SUBSTITUTE(G210,".",""),",",""),";",""),":",""),"!",""),"?",""),"""",""),"'",""),"’",""),"“",""),"”",""))))</f>
        <v/>
      </c>
      <c r="R210" s="46">
        <f>IF($A210="","",LEN(O210))</f>
        <v/>
      </c>
      <c r="S210" s="46">
        <f>IF($A210="","",IF(O210="",0,LEN(O210)-LEN(SUBSTITUTE(O210," ",""))+1))</f>
        <v/>
      </c>
      <c r="T210" s="46">
        <f>IF($A210="","",IF(AND(O210&lt;&gt;"",OR(O210=M210,AND(N210&lt;&gt;"",ISNUMBER(FIND("|"&amp;O210&amp;"|","|"&amp;N210&amp;"|"))))),1,0))</f>
        <v/>
      </c>
      <c r="U210" s="46">
        <f>IF($A210="","",IF(AND(Q210&lt;&gt;"",OR(Q210=M210,AND(N210&lt;&gt;"",ISNUMBER(FIND("|"&amp;Q210&amp;"|","|"&amp;N210&amp;"|"))))),1,0))</f>
        <v/>
      </c>
      <c r="V210" s="46">
        <f>IF($A210="","",IF(P210=O210,1,0))</f>
        <v/>
      </c>
      <c r="W210" s="46">
        <f>IF($A210="","",IF(Q210=O210,1,0))</f>
        <v/>
      </c>
      <c r="X210" s="46">
        <f>IF(OR($A210="",$H210=""),"",IF(AND($H210=1,T210=1),"TA",IF(AND($H210=0,T210=1),"FA",IF($H210=1,"FR","TR"))))</f>
        <v/>
      </c>
      <c r="Y210" s="46">
        <f>IF(OR($A210="",$H210=""),"",IF(AND($H210=1,U210=1),"TA",IF(AND($H210=0,U210=1),"FA",IF($H210=1,"FR","TR"))))</f>
        <v/>
      </c>
    </row>
    <row r="211">
      <c r="A211" s="54" t="n"/>
      <c r="B211" s="54" t="n"/>
      <c r="C211" s="54" t="n"/>
      <c r="D211" s="54" t="n"/>
      <c r="E211" s="54" t="n"/>
      <c r="F211" s="54" t="n"/>
      <c r="G211" s="54" t="n"/>
      <c r="H211" s="54" t="n"/>
      <c r="I211" s="54" t="n"/>
      <c r="J211" s="54" t="n"/>
      <c r="K211" s="54" t="n"/>
      <c r="L211" s="54" t="n"/>
      <c r="M211" s="46">
        <f>IF($A211="","",LOWER(TRIM(SUBSTITUTE(SUBSTITUTE(SUBSTITUTE(SUBSTITUTE(SUBSTITUTE(SUBSTITUTE(SUBSTITUTE(SUBSTITUTE(SUBSTITUTE(SUBSTITUTE(SUBSTITUTE(C211,".",""),",",""),";",""),":",""),"!",""),"?",""),"""",""),"'",""),"’",""),"“",""),"”",""))))</f>
        <v/>
      </c>
      <c r="N211" s="46">
        <f>IF($A211="","",SUBSTITUTE(SUBSTITUTE(LOWER(TRIM(SUBSTITUTE(SUBSTITUTE(SUBSTITUTE(SUBSTITUTE(SUBSTITUTE(SUBSTITUTE(SUBSTITUTE(SUBSTITUTE(SUBSTITUTE(SUBSTITUTE(SUBSTITUTE(D211,".",""),",",""),";",""),":",""),"!",""),"?",""),"""",""),"'",""),"’",""),"“",""),"”","")))," |","|"),"| ","|"))</f>
        <v/>
      </c>
      <c r="O211" s="46">
        <f>IF($A211="","",LOWER(TRIM(SUBSTITUTE(SUBSTITUTE(SUBSTITUTE(SUBSTITUTE(SUBSTITUTE(SUBSTITUTE(SUBSTITUTE(SUBSTITUTE(SUBSTITUTE(SUBSTITUTE(SUBSTITUTE(E211,".",""),",",""),";",""),":",""),"!",""),"?",""),"""",""),"'",""),"’",""),"“",""),"”",""))))</f>
        <v/>
      </c>
      <c r="P211" s="46">
        <f>IF($A211="","",LOWER(TRIM(SUBSTITUTE(SUBSTITUTE(SUBSTITUTE(SUBSTITUTE(SUBSTITUTE(SUBSTITUTE(SUBSTITUTE(SUBSTITUTE(SUBSTITUTE(SUBSTITUTE(SUBSTITUTE(F211,".",""),",",""),";",""),":",""),"!",""),"?",""),"""",""),"'",""),"’",""),"“",""),"”",""))))</f>
        <v/>
      </c>
      <c r="Q211" s="46">
        <f>IF($A211="","",LOWER(TRIM(SUBSTITUTE(SUBSTITUTE(SUBSTITUTE(SUBSTITUTE(SUBSTITUTE(SUBSTITUTE(SUBSTITUTE(SUBSTITUTE(SUBSTITUTE(SUBSTITUTE(SUBSTITUTE(G211,".",""),",",""),";",""),":",""),"!",""),"?",""),"""",""),"'",""),"’",""),"“",""),"”",""))))</f>
        <v/>
      </c>
      <c r="R211" s="46">
        <f>IF($A211="","",LEN(O211))</f>
        <v/>
      </c>
      <c r="S211" s="46">
        <f>IF($A211="","",IF(O211="",0,LEN(O211)-LEN(SUBSTITUTE(O211," ",""))+1))</f>
        <v/>
      </c>
      <c r="T211" s="46">
        <f>IF($A211="","",IF(AND(O211&lt;&gt;"",OR(O211=M211,AND(N211&lt;&gt;"",ISNUMBER(FIND("|"&amp;O211&amp;"|","|"&amp;N211&amp;"|"))))),1,0))</f>
        <v/>
      </c>
      <c r="U211" s="46">
        <f>IF($A211="","",IF(AND(Q211&lt;&gt;"",OR(Q211=M211,AND(N211&lt;&gt;"",ISNUMBER(FIND("|"&amp;Q211&amp;"|","|"&amp;N211&amp;"|"))))),1,0))</f>
        <v/>
      </c>
      <c r="V211" s="46">
        <f>IF($A211="","",IF(P211=O211,1,0))</f>
        <v/>
      </c>
      <c r="W211" s="46">
        <f>IF($A211="","",IF(Q211=O211,1,0))</f>
        <v/>
      </c>
      <c r="X211" s="46">
        <f>IF(OR($A211="",$H211=""),"",IF(AND($H211=1,T211=1),"TA",IF(AND($H211=0,T211=1),"FA",IF($H211=1,"FR","TR"))))</f>
        <v/>
      </c>
      <c r="Y211" s="46">
        <f>IF(OR($A211="",$H211=""),"",IF(AND($H211=1,U211=1),"TA",IF(AND($H211=0,U211=1),"FA",IF($H211=1,"FR","TR"))))</f>
        <v/>
      </c>
    </row>
    <row r="212">
      <c r="A212" s="54" t="n"/>
      <c r="B212" s="54" t="n"/>
      <c r="C212" s="54" t="n"/>
      <c r="D212" s="54" t="n"/>
      <c r="E212" s="54" t="n"/>
      <c r="F212" s="54" t="n"/>
      <c r="G212" s="54" t="n"/>
      <c r="H212" s="54" t="n"/>
      <c r="I212" s="54" t="n"/>
      <c r="J212" s="54" t="n"/>
      <c r="K212" s="54" t="n"/>
      <c r="L212" s="54" t="n"/>
      <c r="M212" s="46">
        <f>IF($A212="","",LOWER(TRIM(SUBSTITUTE(SUBSTITUTE(SUBSTITUTE(SUBSTITUTE(SUBSTITUTE(SUBSTITUTE(SUBSTITUTE(SUBSTITUTE(SUBSTITUTE(SUBSTITUTE(SUBSTITUTE(C212,".",""),",",""),";",""),":",""),"!",""),"?",""),"""",""),"'",""),"’",""),"“",""),"”",""))))</f>
        <v/>
      </c>
      <c r="N212" s="46">
        <f>IF($A212="","",SUBSTITUTE(SUBSTITUTE(LOWER(TRIM(SUBSTITUTE(SUBSTITUTE(SUBSTITUTE(SUBSTITUTE(SUBSTITUTE(SUBSTITUTE(SUBSTITUTE(SUBSTITUTE(SUBSTITUTE(SUBSTITUTE(SUBSTITUTE(D212,".",""),",",""),";",""),":",""),"!",""),"?",""),"""",""),"'",""),"’",""),"“",""),"”","")))," |","|"),"| ","|"))</f>
        <v/>
      </c>
      <c r="O212" s="46">
        <f>IF($A212="","",LOWER(TRIM(SUBSTITUTE(SUBSTITUTE(SUBSTITUTE(SUBSTITUTE(SUBSTITUTE(SUBSTITUTE(SUBSTITUTE(SUBSTITUTE(SUBSTITUTE(SUBSTITUTE(SUBSTITUTE(E212,".",""),",",""),";",""),":",""),"!",""),"?",""),"""",""),"'",""),"’",""),"“",""),"”",""))))</f>
        <v/>
      </c>
      <c r="P212" s="46">
        <f>IF($A212="","",LOWER(TRIM(SUBSTITUTE(SUBSTITUTE(SUBSTITUTE(SUBSTITUTE(SUBSTITUTE(SUBSTITUTE(SUBSTITUTE(SUBSTITUTE(SUBSTITUTE(SUBSTITUTE(SUBSTITUTE(F212,".",""),",",""),";",""),":",""),"!",""),"?",""),"""",""),"'",""),"’",""),"“",""),"”",""))))</f>
        <v/>
      </c>
      <c r="Q212" s="46">
        <f>IF($A212="","",LOWER(TRIM(SUBSTITUTE(SUBSTITUTE(SUBSTITUTE(SUBSTITUTE(SUBSTITUTE(SUBSTITUTE(SUBSTITUTE(SUBSTITUTE(SUBSTITUTE(SUBSTITUTE(SUBSTITUTE(G212,".",""),",",""),";",""),":",""),"!",""),"?",""),"""",""),"'",""),"’",""),"“",""),"”",""))))</f>
        <v/>
      </c>
      <c r="R212" s="46">
        <f>IF($A212="","",LEN(O212))</f>
        <v/>
      </c>
      <c r="S212" s="46">
        <f>IF($A212="","",IF(O212="",0,LEN(O212)-LEN(SUBSTITUTE(O212," ",""))+1))</f>
        <v/>
      </c>
      <c r="T212" s="46">
        <f>IF($A212="","",IF(AND(O212&lt;&gt;"",OR(O212=M212,AND(N212&lt;&gt;"",ISNUMBER(FIND("|"&amp;O212&amp;"|","|"&amp;N212&amp;"|"))))),1,0))</f>
        <v/>
      </c>
      <c r="U212" s="46">
        <f>IF($A212="","",IF(AND(Q212&lt;&gt;"",OR(Q212=M212,AND(N212&lt;&gt;"",ISNUMBER(FIND("|"&amp;Q212&amp;"|","|"&amp;N212&amp;"|"))))),1,0))</f>
        <v/>
      </c>
      <c r="V212" s="46">
        <f>IF($A212="","",IF(P212=O212,1,0))</f>
        <v/>
      </c>
      <c r="W212" s="46">
        <f>IF($A212="","",IF(Q212=O212,1,0))</f>
        <v/>
      </c>
      <c r="X212" s="46">
        <f>IF(OR($A212="",$H212=""),"",IF(AND($H212=1,T212=1),"TA",IF(AND($H212=0,T212=1),"FA",IF($H212=1,"FR","TR"))))</f>
        <v/>
      </c>
      <c r="Y212" s="46">
        <f>IF(OR($A212="",$H212=""),"",IF(AND($H212=1,U212=1),"TA",IF(AND($H212=0,U212=1),"FA",IF($H212=1,"FR","TR"))))</f>
        <v/>
      </c>
    </row>
    <row r="213">
      <c r="A213" s="54" t="n"/>
      <c r="B213" s="54" t="n"/>
      <c r="C213" s="54" t="n"/>
      <c r="D213" s="54" t="n"/>
      <c r="E213" s="54" t="n"/>
      <c r="F213" s="54" t="n"/>
      <c r="G213" s="54" t="n"/>
      <c r="H213" s="54" t="n"/>
      <c r="I213" s="54" t="n"/>
      <c r="J213" s="54" t="n"/>
      <c r="K213" s="54" t="n"/>
      <c r="L213" s="54" t="n"/>
      <c r="M213" s="46">
        <f>IF($A213="","",LOWER(TRIM(SUBSTITUTE(SUBSTITUTE(SUBSTITUTE(SUBSTITUTE(SUBSTITUTE(SUBSTITUTE(SUBSTITUTE(SUBSTITUTE(SUBSTITUTE(SUBSTITUTE(SUBSTITUTE(C213,".",""),",",""),";",""),":",""),"!",""),"?",""),"""",""),"'",""),"’",""),"“",""),"”",""))))</f>
        <v/>
      </c>
      <c r="N213" s="46">
        <f>IF($A213="","",SUBSTITUTE(SUBSTITUTE(LOWER(TRIM(SUBSTITUTE(SUBSTITUTE(SUBSTITUTE(SUBSTITUTE(SUBSTITUTE(SUBSTITUTE(SUBSTITUTE(SUBSTITUTE(SUBSTITUTE(SUBSTITUTE(SUBSTITUTE(D213,".",""),",",""),";",""),":",""),"!",""),"?",""),"""",""),"'",""),"’",""),"“",""),"”","")))," |","|"),"| ","|"))</f>
        <v/>
      </c>
      <c r="O213" s="46">
        <f>IF($A213="","",LOWER(TRIM(SUBSTITUTE(SUBSTITUTE(SUBSTITUTE(SUBSTITUTE(SUBSTITUTE(SUBSTITUTE(SUBSTITUTE(SUBSTITUTE(SUBSTITUTE(SUBSTITUTE(SUBSTITUTE(E213,".",""),",",""),";",""),":",""),"!",""),"?",""),"""",""),"'",""),"’",""),"“",""),"”",""))))</f>
        <v/>
      </c>
      <c r="P213" s="46">
        <f>IF($A213="","",LOWER(TRIM(SUBSTITUTE(SUBSTITUTE(SUBSTITUTE(SUBSTITUTE(SUBSTITUTE(SUBSTITUTE(SUBSTITUTE(SUBSTITUTE(SUBSTITUTE(SUBSTITUTE(SUBSTITUTE(F213,".",""),",",""),";",""),":",""),"!",""),"?",""),"""",""),"'",""),"’",""),"“",""),"”",""))))</f>
        <v/>
      </c>
      <c r="Q213" s="46">
        <f>IF($A213="","",LOWER(TRIM(SUBSTITUTE(SUBSTITUTE(SUBSTITUTE(SUBSTITUTE(SUBSTITUTE(SUBSTITUTE(SUBSTITUTE(SUBSTITUTE(SUBSTITUTE(SUBSTITUTE(SUBSTITUTE(G213,".",""),",",""),";",""),":",""),"!",""),"?",""),"""",""),"'",""),"’",""),"“",""),"”",""))))</f>
        <v/>
      </c>
      <c r="R213" s="46">
        <f>IF($A213="","",LEN(O213))</f>
        <v/>
      </c>
      <c r="S213" s="46">
        <f>IF($A213="","",IF(O213="",0,LEN(O213)-LEN(SUBSTITUTE(O213," ",""))+1))</f>
        <v/>
      </c>
      <c r="T213" s="46">
        <f>IF($A213="","",IF(AND(O213&lt;&gt;"",OR(O213=M213,AND(N213&lt;&gt;"",ISNUMBER(FIND("|"&amp;O213&amp;"|","|"&amp;N213&amp;"|"))))),1,0))</f>
        <v/>
      </c>
      <c r="U213" s="46">
        <f>IF($A213="","",IF(AND(Q213&lt;&gt;"",OR(Q213=M213,AND(N213&lt;&gt;"",ISNUMBER(FIND("|"&amp;Q213&amp;"|","|"&amp;N213&amp;"|"))))),1,0))</f>
        <v/>
      </c>
      <c r="V213" s="46">
        <f>IF($A213="","",IF(P213=O213,1,0))</f>
        <v/>
      </c>
      <c r="W213" s="46">
        <f>IF($A213="","",IF(Q213=O213,1,0))</f>
        <v/>
      </c>
      <c r="X213" s="46">
        <f>IF(OR($A213="",$H213=""),"",IF(AND($H213=1,T213=1),"TA",IF(AND($H213=0,T213=1),"FA",IF($H213=1,"FR","TR"))))</f>
        <v/>
      </c>
      <c r="Y213" s="46">
        <f>IF(OR($A213="",$H213=""),"",IF(AND($H213=1,U213=1),"TA",IF(AND($H213=0,U213=1),"FA",IF($H213=1,"FR","TR"))))</f>
        <v/>
      </c>
    </row>
    <row r="214">
      <c r="A214" s="54" t="n"/>
      <c r="B214" s="54" t="n"/>
      <c r="C214" s="54" t="n"/>
      <c r="D214" s="54" t="n"/>
      <c r="E214" s="54" t="n"/>
      <c r="F214" s="54" t="n"/>
      <c r="G214" s="54" t="n"/>
      <c r="H214" s="54" t="n"/>
      <c r="I214" s="54" t="n"/>
      <c r="J214" s="54" t="n"/>
      <c r="K214" s="54" t="n"/>
      <c r="L214" s="54" t="n"/>
      <c r="M214" s="46">
        <f>IF($A214="","",LOWER(TRIM(SUBSTITUTE(SUBSTITUTE(SUBSTITUTE(SUBSTITUTE(SUBSTITUTE(SUBSTITUTE(SUBSTITUTE(SUBSTITUTE(SUBSTITUTE(SUBSTITUTE(SUBSTITUTE(C214,".",""),",",""),";",""),":",""),"!",""),"?",""),"""",""),"'",""),"’",""),"“",""),"”",""))))</f>
        <v/>
      </c>
      <c r="N214" s="46">
        <f>IF($A214="","",SUBSTITUTE(SUBSTITUTE(LOWER(TRIM(SUBSTITUTE(SUBSTITUTE(SUBSTITUTE(SUBSTITUTE(SUBSTITUTE(SUBSTITUTE(SUBSTITUTE(SUBSTITUTE(SUBSTITUTE(SUBSTITUTE(SUBSTITUTE(D214,".",""),",",""),";",""),":",""),"!",""),"?",""),"""",""),"'",""),"’",""),"“",""),"”","")))," |","|"),"| ","|"))</f>
        <v/>
      </c>
      <c r="O214" s="46">
        <f>IF($A214="","",LOWER(TRIM(SUBSTITUTE(SUBSTITUTE(SUBSTITUTE(SUBSTITUTE(SUBSTITUTE(SUBSTITUTE(SUBSTITUTE(SUBSTITUTE(SUBSTITUTE(SUBSTITUTE(SUBSTITUTE(E214,".",""),",",""),";",""),":",""),"!",""),"?",""),"""",""),"'",""),"’",""),"“",""),"”",""))))</f>
        <v/>
      </c>
      <c r="P214" s="46">
        <f>IF($A214="","",LOWER(TRIM(SUBSTITUTE(SUBSTITUTE(SUBSTITUTE(SUBSTITUTE(SUBSTITUTE(SUBSTITUTE(SUBSTITUTE(SUBSTITUTE(SUBSTITUTE(SUBSTITUTE(SUBSTITUTE(F214,".",""),",",""),";",""),":",""),"!",""),"?",""),"""",""),"'",""),"’",""),"“",""),"”",""))))</f>
        <v/>
      </c>
      <c r="Q214" s="46">
        <f>IF($A214="","",LOWER(TRIM(SUBSTITUTE(SUBSTITUTE(SUBSTITUTE(SUBSTITUTE(SUBSTITUTE(SUBSTITUTE(SUBSTITUTE(SUBSTITUTE(SUBSTITUTE(SUBSTITUTE(SUBSTITUTE(G214,".",""),",",""),";",""),":",""),"!",""),"?",""),"""",""),"'",""),"’",""),"“",""),"”",""))))</f>
        <v/>
      </c>
      <c r="R214" s="46">
        <f>IF($A214="","",LEN(O214))</f>
        <v/>
      </c>
      <c r="S214" s="46">
        <f>IF($A214="","",IF(O214="",0,LEN(O214)-LEN(SUBSTITUTE(O214," ",""))+1))</f>
        <v/>
      </c>
      <c r="T214" s="46">
        <f>IF($A214="","",IF(AND(O214&lt;&gt;"",OR(O214=M214,AND(N214&lt;&gt;"",ISNUMBER(FIND("|"&amp;O214&amp;"|","|"&amp;N214&amp;"|"))))),1,0))</f>
        <v/>
      </c>
      <c r="U214" s="46">
        <f>IF($A214="","",IF(AND(Q214&lt;&gt;"",OR(Q214=M214,AND(N214&lt;&gt;"",ISNUMBER(FIND("|"&amp;Q214&amp;"|","|"&amp;N214&amp;"|"))))),1,0))</f>
        <v/>
      </c>
      <c r="V214" s="46">
        <f>IF($A214="","",IF(P214=O214,1,0))</f>
        <v/>
      </c>
      <c r="W214" s="46">
        <f>IF($A214="","",IF(Q214=O214,1,0))</f>
        <v/>
      </c>
      <c r="X214" s="46">
        <f>IF(OR($A214="",$H214=""),"",IF(AND($H214=1,T214=1),"TA",IF(AND($H214=0,T214=1),"FA",IF($H214=1,"FR","TR"))))</f>
        <v/>
      </c>
      <c r="Y214" s="46">
        <f>IF(OR($A214="",$H214=""),"",IF(AND($H214=1,U214=1),"TA",IF(AND($H214=0,U214=1),"FA",IF($H214=1,"FR","TR"))))</f>
        <v/>
      </c>
    </row>
    <row r="215">
      <c r="A215" s="54" t="n"/>
      <c r="B215" s="54" t="n"/>
      <c r="C215" s="54" t="n"/>
      <c r="D215" s="54" t="n"/>
      <c r="E215" s="54" t="n"/>
      <c r="F215" s="54" t="n"/>
      <c r="G215" s="54" t="n"/>
      <c r="H215" s="54" t="n"/>
      <c r="I215" s="54" t="n"/>
      <c r="J215" s="54" t="n"/>
      <c r="K215" s="54" t="n"/>
      <c r="L215" s="54" t="n"/>
      <c r="M215" s="46">
        <f>IF($A215="","",LOWER(TRIM(SUBSTITUTE(SUBSTITUTE(SUBSTITUTE(SUBSTITUTE(SUBSTITUTE(SUBSTITUTE(SUBSTITUTE(SUBSTITUTE(SUBSTITUTE(SUBSTITUTE(SUBSTITUTE(C215,".",""),",",""),";",""),":",""),"!",""),"?",""),"""",""),"'",""),"’",""),"“",""),"”",""))))</f>
        <v/>
      </c>
      <c r="N215" s="46">
        <f>IF($A215="","",SUBSTITUTE(SUBSTITUTE(LOWER(TRIM(SUBSTITUTE(SUBSTITUTE(SUBSTITUTE(SUBSTITUTE(SUBSTITUTE(SUBSTITUTE(SUBSTITUTE(SUBSTITUTE(SUBSTITUTE(SUBSTITUTE(SUBSTITUTE(D215,".",""),",",""),";",""),":",""),"!",""),"?",""),"""",""),"'",""),"’",""),"“",""),"”","")))," |","|"),"| ","|"))</f>
        <v/>
      </c>
      <c r="O215" s="46">
        <f>IF($A215="","",LOWER(TRIM(SUBSTITUTE(SUBSTITUTE(SUBSTITUTE(SUBSTITUTE(SUBSTITUTE(SUBSTITUTE(SUBSTITUTE(SUBSTITUTE(SUBSTITUTE(SUBSTITUTE(SUBSTITUTE(E215,".",""),",",""),";",""),":",""),"!",""),"?",""),"""",""),"'",""),"’",""),"“",""),"”",""))))</f>
        <v/>
      </c>
      <c r="P215" s="46">
        <f>IF($A215="","",LOWER(TRIM(SUBSTITUTE(SUBSTITUTE(SUBSTITUTE(SUBSTITUTE(SUBSTITUTE(SUBSTITUTE(SUBSTITUTE(SUBSTITUTE(SUBSTITUTE(SUBSTITUTE(SUBSTITUTE(F215,".",""),",",""),";",""),":",""),"!",""),"?",""),"""",""),"'",""),"’",""),"“",""),"”",""))))</f>
        <v/>
      </c>
      <c r="Q215" s="46">
        <f>IF($A215="","",LOWER(TRIM(SUBSTITUTE(SUBSTITUTE(SUBSTITUTE(SUBSTITUTE(SUBSTITUTE(SUBSTITUTE(SUBSTITUTE(SUBSTITUTE(SUBSTITUTE(SUBSTITUTE(SUBSTITUTE(G215,".",""),",",""),";",""),":",""),"!",""),"?",""),"""",""),"'",""),"’",""),"“",""),"”",""))))</f>
        <v/>
      </c>
      <c r="R215" s="46">
        <f>IF($A215="","",LEN(O215))</f>
        <v/>
      </c>
      <c r="S215" s="46">
        <f>IF($A215="","",IF(O215="",0,LEN(O215)-LEN(SUBSTITUTE(O215," ",""))+1))</f>
        <v/>
      </c>
      <c r="T215" s="46">
        <f>IF($A215="","",IF(AND(O215&lt;&gt;"",OR(O215=M215,AND(N215&lt;&gt;"",ISNUMBER(FIND("|"&amp;O215&amp;"|","|"&amp;N215&amp;"|"))))),1,0))</f>
        <v/>
      </c>
      <c r="U215" s="46">
        <f>IF($A215="","",IF(AND(Q215&lt;&gt;"",OR(Q215=M215,AND(N215&lt;&gt;"",ISNUMBER(FIND("|"&amp;Q215&amp;"|","|"&amp;N215&amp;"|"))))),1,0))</f>
        <v/>
      </c>
      <c r="V215" s="46">
        <f>IF($A215="","",IF(P215=O215,1,0))</f>
        <v/>
      </c>
      <c r="W215" s="46">
        <f>IF($A215="","",IF(Q215=O215,1,0))</f>
        <v/>
      </c>
      <c r="X215" s="46">
        <f>IF(OR($A215="",$H215=""),"",IF(AND($H215=1,T215=1),"TA",IF(AND($H215=0,T215=1),"FA",IF($H215=1,"FR","TR"))))</f>
        <v/>
      </c>
      <c r="Y215" s="46">
        <f>IF(OR($A215="",$H215=""),"",IF(AND($H215=1,U215=1),"TA",IF(AND($H215=0,U215=1),"FA",IF($H215=1,"FR","TR"))))</f>
        <v/>
      </c>
    </row>
    <row r="216">
      <c r="A216" s="54" t="n"/>
      <c r="B216" s="54" t="n"/>
      <c r="C216" s="54" t="n"/>
      <c r="D216" s="54" t="n"/>
      <c r="E216" s="54" t="n"/>
      <c r="F216" s="54" t="n"/>
      <c r="G216" s="54" t="n"/>
      <c r="H216" s="54" t="n"/>
      <c r="I216" s="54" t="n"/>
      <c r="J216" s="54" t="n"/>
      <c r="K216" s="54" t="n"/>
      <c r="L216" s="54" t="n"/>
      <c r="M216" s="46">
        <f>IF($A216="","",LOWER(TRIM(SUBSTITUTE(SUBSTITUTE(SUBSTITUTE(SUBSTITUTE(SUBSTITUTE(SUBSTITUTE(SUBSTITUTE(SUBSTITUTE(SUBSTITUTE(SUBSTITUTE(SUBSTITUTE(C216,".",""),",",""),";",""),":",""),"!",""),"?",""),"""",""),"'",""),"’",""),"“",""),"”",""))))</f>
        <v/>
      </c>
      <c r="N216" s="46">
        <f>IF($A216="","",SUBSTITUTE(SUBSTITUTE(LOWER(TRIM(SUBSTITUTE(SUBSTITUTE(SUBSTITUTE(SUBSTITUTE(SUBSTITUTE(SUBSTITUTE(SUBSTITUTE(SUBSTITUTE(SUBSTITUTE(SUBSTITUTE(SUBSTITUTE(D216,".",""),",",""),";",""),":",""),"!",""),"?",""),"""",""),"'",""),"’",""),"“",""),"”","")))," |","|"),"| ","|"))</f>
        <v/>
      </c>
      <c r="O216" s="46">
        <f>IF($A216="","",LOWER(TRIM(SUBSTITUTE(SUBSTITUTE(SUBSTITUTE(SUBSTITUTE(SUBSTITUTE(SUBSTITUTE(SUBSTITUTE(SUBSTITUTE(SUBSTITUTE(SUBSTITUTE(SUBSTITUTE(E216,".",""),",",""),";",""),":",""),"!",""),"?",""),"""",""),"'",""),"’",""),"“",""),"”",""))))</f>
        <v/>
      </c>
      <c r="P216" s="46">
        <f>IF($A216="","",LOWER(TRIM(SUBSTITUTE(SUBSTITUTE(SUBSTITUTE(SUBSTITUTE(SUBSTITUTE(SUBSTITUTE(SUBSTITUTE(SUBSTITUTE(SUBSTITUTE(SUBSTITUTE(SUBSTITUTE(F216,".",""),",",""),";",""),":",""),"!",""),"?",""),"""",""),"'",""),"’",""),"“",""),"”",""))))</f>
        <v/>
      </c>
      <c r="Q216" s="46">
        <f>IF($A216="","",LOWER(TRIM(SUBSTITUTE(SUBSTITUTE(SUBSTITUTE(SUBSTITUTE(SUBSTITUTE(SUBSTITUTE(SUBSTITUTE(SUBSTITUTE(SUBSTITUTE(SUBSTITUTE(SUBSTITUTE(G216,".",""),",",""),";",""),":",""),"!",""),"?",""),"""",""),"'",""),"’",""),"“",""),"”",""))))</f>
        <v/>
      </c>
      <c r="R216" s="46">
        <f>IF($A216="","",LEN(O216))</f>
        <v/>
      </c>
      <c r="S216" s="46">
        <f>IF($A216="","",IF(O216="",0,LEN(O216)-LEN(SUBSTITUTE(O216," ",""))+1))</f>
        <v/>
      </c>
      <c r="T216" s="46">
        <f>IF($A216="","",IF(AND(O216&lt;&gt;"",OR(O216=M216,AND(N216&lt;&gt;"",ISNUMBER(FIND("|"&amp;O216&amp;"|","|"&amp;N216&amp;"|"))))),1,0))</f>
        <v/>
      </c>
      <c r="U216" s="46">
        <f>IF($A216="","",IF(AND(Q216&lt;&gt;"",OR(Q216=M216,AND(N216&lt;&gt;"",ISNUMBER(FIND("|"&amp;Q216&amp;"|","|"&amp;N216&amp;"|"))))),1,0))</f>
        <v/>
      </c>
      <c r="V216" s="46">
        <f>IF($A216="","",IF(P216=O216,1,0))</f>
        <v/>
      </c>
      <c r="W216" s="46">
        <f>IF($A216="","",IF(Q216=O216,1,0))</f>
        <v/>
      </c>
      <c r="X216" s="46">
        <f>IF(OR($A216="",$H216=""),"",IF(AND($H216=1,T216=1),"TA",IF(AND($H216=0,T216=1),"FA",IF($H216=1,"FR","TR"))))</f>
        <v/>
      </c>
      <c r="Y216" s="46">
        <f>IF(OR($A216="",$H216=""),"",IF(AND($H216=1,U216=1),"TA",IF(AND($H216=0,U216=1),"FA",IF($H216=1,"FR","TR"))))</f>
        <v/>
      </c>
    </row>
    <row r="217">
      <c r="A217" s="54" t="n"/>
      <c r="B217" s="54" t="n"/>
      <c r="C217" s="54" t="n"/>
      <c r="D217" s="54" t="n"/>
      <c r="E217" s="54" t="n"/>
      <c r="F217" s="54" t="n"/>
      <c r="G217" s="54" t="n"/>
      <c r="H217" s="54" t="n"/>
      <c r="I217" s="54" t="n"/>
      <c r="J217" s="54" t="n"/>
      <c r="K217" s="54" t="n"/>
      <c r="L217" s="54" t="n"/>
      <c r="M217" s="46">
        <f>IF($A217="","",LOWER(TRIM(SUBSTITUTE(SUBSTITUTE(SUBSTITUTE(SUBSTITUTE(SUBSTITUTE(SUBSTITUTE(SUBSTITUTE(SUBSTITUTE(SUBSTITUTE(SUBSTITUTE(SUBSTITUTE(C217,".",""),",",""),";",""),":",""),"!",""),"?",""),"""",""),"'",""),"’",""),"“",""),"”",""))))</f>
        <v/>
      </c>
      <c r="N217" s="46">
        <f>IF($A217="","",SUBSTITUTE(SUBSTITUTE(LOWER(TRIM(SUBSTITUTE(SUBSTITUTE(SUBSTITUTE(SUBSTITUTE(SUBSTITUTE(SUBSTITUTE(SUBSTITUTE(SUBSTITUTE(SUBSTITUTE(SUBSTITUTE(SUBSTITUTE(D217,".",""),",",""),";",""),":",""),"!",""),"?",""),"""",""),"'",""),"’",""),"“",""),"”","")))," |","|"),"| ","|"))</f>
        <v/>
      </c>
      <c r="O217" s="46">
        <f>IF($A217="","",LOWER(TRIM(SUBSTITUTE(SUBSTITUTE(SUBSTITUTE(SUBSTITUTE(SUBSTITUTE(SUBSTITUTE(SUBSTITUTE(SUBSTITUTE(SUBSTITUTE(SUBSTITUTE(SUBSTITUTE(E217,".",""),",",""),";",""),":",""),"!",""),"?",""),"""",""),"'",""),"’",""),"“",""),"”",""))))</f>
        <v/>
      </c>
      <c r="P217" s="46">
        <f>IF($A217="","",LOWER(TRIM(SUBSTITUTE(SUBSTITUTE(SUBSTITUTE(SUBSTITUTE(SUBSTITUTE(SUBSTITUTE(SUBSTITUTE(SUBSTITUTE(SUBSTITUTE(SUBSTITUTE(SUBSTITUTE(F217,".",""),",",""),";",""),":",""),"!",""),"?",""),"""",""),"'",""),"’",""),"“",""),"”",""))))</f>
        <v/>
      </c>
      <c r="Q217" s="46">
        <f>IF($A217="","",LOWER(TRIM(SUBSTITUTE(SUBSTITUTE(SUBSTITUTE(SUBSTITUTE(SUBSTITUTE(SUBSTITUTE(SUBSTITUTE(SUBSTITUTE(SUBSTITUTE(SUBSTITUTE(SUBSTITUTE(G217,".",""),",",""),";",""),":",""),"!",""),"?",""),"""",""),"'",""),"’",""),"“",""),"”",""))))</f>
        <v/>
      </c>
      <c r="R217" s="46">
        <f>IF($A217="","",LEN(O217))</f>
        <v/>
      </c>
      <c r="S217" s="46">
        <f>IF($A217="","",IF(O217="",0,LEN(O217)-LEN(SUBSTITUTE(O217," ",""))+1))</f>
        <v/>
      </c>
      <c r="T217" s="46">
        <f>IF($A217="","",IF(AND(O217&lt;&gt;"",OR(O217=M217,AND(N217&lt;&gt;"",ISNUMBER(FIND("|"&amp;O217&amp;"|","|"&amp;N217&amp;"|"))))),1,0))</f>
        <v/>
      </c>
      <c r="U217" s="46">
        <f>IF($A217="","",IF(AND(Q217&lt;&gt;"",OR(Q217=M217,AND(N217&lt;&gt;"",ISNUMBER(FIND("|"&amp;Q217&amp;"|","|"&amp;N217&amp;"|"))))),1,0))</f>
        <v/>
      </c>
      <c r="V217" s="46">
        <f>IF($A217="","",IF(P217=O217,1,0))</f>
        <v/>
      </c>
      <c r="W217" s="46">
        <f>IF($A217="","",IF(Q217=O217,1,0))</f>
        <v/>
      </c>
      <c r="X217" s="46">
        <f>IF(OR($A217="",$H217=""),"",IF(AND($H217=1,T217=1),"TA",IF(AND($H217=0,T217=1),"FA",IF($H217=1,"FR","TR"))))</f>
        <v/>
      </c>
      <c r="Y217" s="46">
        <f>IF(OR($A217="",$H217=""),"",IF(AND($H217=1,U217=1),"TA",IF(AND($H217=0,U217=1),"FA",IF($H217=1,"FR","TR"))))</f>
        <v/>
      </c>
    </row>
    <row r="218">
      <c r="A218" s="54" t="n"/>
      <c r="B218" s="54" t="n"/>
      <c r="C218" s="54" t="n"/>
      <c r="D218" s="54" t="n"/>
      <c r="E218" s="54" t="n"/>
      <c r="F218" s="54" t="n"/>
      <c r="G218" s="54" t="n"/>
      <c r="H218" s="54" t="n"/>
      <c r="I218" s="54" t="n"/>
      <c r="J218" s="54" t="n"/>
      <c r="K218" s="54" t="n"/>
      <c r="L218" s="54" t="n"/>
      <c r="M218" s="46">
        <f>IF($A218="","",LOWER(TRIM(SUBSTITUTE(SUBSTITUTE(SUBSTITUTE(SUBSTITUTE(SUBSTITUTE(SUBSTITUTE(SUBSTITUTE(SUBSTITUTE(SUBSTITUTE(SUBSTITUTE(SUBSTITUTE(C218,".",""),",",""),";",""),":",""),"!",""),"?",""),"""",""),"'",""),"’",""),"“",""),"”",""))))</f>
        <v/>
      </c>
      <c r="N218" s="46">
        <f>IF($A218="","",SUBSTITUTE(SUBSTITUTE(LOWER(TRIM(SUBSTITUTE(SUBSTITUTE(SUBSTITUTE(SUBSTITUTE(SUBSTITUTE(SUBSTITUTE(SUBSTITUTE(SUBSTITUTE(SUBSTITUTE(SUBSTITUTE(SUBSTITUTE(D218,".",""),",",""),";",""),":",""),"!",""),"?",""),"""",""),"'",""),"’",""),"“",""),"”","")))," |","|"),"| ","|"))</f>
        <v/>
      </c>
      <c r="O218" s="46">
        <f>IF($A218="","",LOWER(TRIM(SUBSTITUTE(SUBSTITUTE(SUBSTITUTE(SUBSTITUTE(SUBSTITUTE(SUBSTITUTE(SUBSTITUTE(SUBSTITUTE(SUBSTITUTE(SUBSTITUTE(SUBSTITUTE(E218,".",""),",",""),";",""),":",""),"!",""),"?",""),"""",""),"'",""),"’",""),"“",""),"”",""))))</f>
        <v/>
      </c>
      <c r="P218" s="46">
        <f>IF($A218="","",LOWER(TRIM(SUBSTITUTE(SUBSTITUTE(SUBSTITUTE(SUBSTITUTE(SUBSTITUTE(SUBSTITUTE(SUBSTITUTE(SUBSTITUTE(SUBSTITUTE(SUBSTITUTE(SUBSTITUTE(F218,".",""),",",""),";",""),":",""),"!",""),"?",""),"""",""),"'",""),"’",""),"“",""),"”",""))))</f>
        <v/>
      </c>
      <c r="Q218" s="46">
        <f>IF($A218="","",LOWER(TRIM(SUBSTITUTE(SUBSTITUTE(SUBSTITUTE(SUBSTITUTE(SUBSTITUTE(SUBSTITUTE(SUBSTITUTE(SUBSTITUTE(SUBSTITUTE(SUBSTITUTE(SUBSTITUTE(G218,".",""),",",""),";",""),":",""),"!",""),"?",""),"""",""),"'",""),"’",""),"“",""),"”",""))))</f>
        <v/>
      </c>
      <c r="R218" s="46">
        <f>IF($A218="","",LEN(O218))</f>
        <v/>
      </c>
      <c r="S218" s="46">
        <f>IF($A218="","",IF(O218="",0,LEN(O218)-LEN(SUBSTITUTE(O218," ",""))+1))</f>
        <v/>
      </c>
      <c r="T218" s="46">
        <f>IF($A218="","",IF(AND(O218&lt;&gt;"",OR(O218=M218,AND(N218&lt;&gt;"",ISNUMBER(FIND("|"&amp;O218&amp;"|","|"&amp;N218&amp;"|"))))),1,0))</f>
        <v/>
      </c>
      <c r="U218" s="46">
        <f>IF($A218="","",IF(AND(Q218&lt;&gt;"",OR(Q218=M218,AND(N218&lt;&gt;"",ISNUMBER(FIND("|"&amp;Q218&amp;"|","|"&amp;N218&amp;"|"))))),1,0))</f>
        <v/>
      </c>
      <c r="V218" s="46">
        <f>IF($A218="","",IF(P218=O218,1,0))</f>
        <v/>
      </c>
      <c r="W218" s="46">
        <f>IF($A218="","",IF(Q218=O218,1,0))</f>
        <v/>
      </c>
      <c r="X218" s="46">
        <f>IF(OR($A218="",$H218=""),"",IF(AND($H218=1,T218=1),"TA",IF(AND($H218=0,T218=1),"FA",IF($H218=1,"FR","TR"))))</f>
        <v/>
      </c>
      <c r="Y218" s="46">
        <f>IF(OR($A218="",$H218=""),"",IF(AND($H218=1,U218=1),"TA",IF(AND($H218=0,U218=1),"FA",IF($H218=1,"FR","TR"))))</f>
        <v/>
      </c>
    </row>
    <row r="219">
      <c r="A219" s="54" t="n"/>
      <c r="B219" s="54" t="n"/>
      <c r="C219" s="54" t="n"/>
      <c r="D219" s="54" t="n"/>
      <c r="E219" s="54" t="n"/>
      <c r="F219" s="54" t="n"/>
      <c r="G219" s="54" t="n"/>
      <c r="H219" s="54" t="n"/>
      <c r="I219" s="54" t="n"/>
      <c r="J219" s="54" t="n"/>
      <c r="K219" s="54" t="n"/>
      <c r="L219" s="54" t="n"/>
      <c r="M219" s="46">
        <f>IF($A219="","",LOWER(TRIM(SUBSTITUTE(SUBSTITUTE(SUBSTITUTE(SUBSTITUTE(SUBSTITUTE(SUBSTITUTE(SUBSTITUTE(SUBSTITUTE(SUBSTITUTE(SUBSTITUTE(SUBSTITUTE(C219,".",""),",",""),";",""),":",""),"!",""),"?",""),"""",""),"'",""),"’",""),"“",""),"”",""))))</f>
        <v/>
      </c>
      <c r="N219" s="46">
        <f>IF($A219="","",SUBSTITUTE(SUBSTITUTE(LOWER(TRIM(SUBSTITUTE(SUBSTITUTE(SUBSTITUTE(SUBSTITUTE(SUBSTITUTE(SUBSTITUTE(SUBSTITUTE(SUBSTITUTE(SUBSTITUTE(SUBSTITUTE(SUBSTITUTE(D219,".",""),",",""),";",""),":",""),"!",""),"?",""),"""",""),"'",""),"’",""),"“",""),"”","")))," |","|"),"| ","|"))</f>
        <v/>
      </c>
      <c r="O219" s="46">
        <f>IF($A219="","",LOWER(TRIM(SUBSTITUTE(SUBSTITUTE(SUBSTITUTE(SUBSTITUTE(SUBSTITUTE(SUBSTITUTE(SUBSTITUTE(SUBSTITUTE(SUBSTITUTE(SUBSTITUTE(SUBSTITUTE(E219,".",""),",",""),";",""),":",""),"!",""),"?",""),"""",""),"'",""),"’",""),"“",""),"”",""))))</f>
        <v/>
      </c>
      <c r="P219" s="46">
        <f>IF($A219="","",LOWER(TRIM(SUBSTITUTE(SUBSTITUTE(SUBSTITUTE(SUBSTITUTE(SUBSTITUTE(SUBSTITUTE(SUBSTITUTE(SUBSTITUTE(SUBSTITUTE(SUBSTITUTE(SUBSTITUTE(F219,".",""),",",""),";",""),":",""),"!",""),"?",""),"""",""),"'",""),"’",""),"“",""),"”",""))))</f>
        <v/>
      </c>
      <c r="Q219" s="46">
        <f>IF($A219="","",LOWER(TRIM(SUBSTITUTE(SUBSTITUTE(SUBSTITUTE(SUBSTITUTE(SUBSTITUTE(SUBSTITUTE(SUBSTITUTE(SUBSTITUTE(SUBSTITUTE(SUBSTITUTE(SUBSTITUTE(G219,".",""),",",""),";",""),":",""),"!",""),"?",""),"""",""),"'",""),"’",""),"“",""),"”",""))))</f>
        <v/>
      </c>
      <c r="R219" s="46">
        <f>IF($A219="","",LEN(O219))</f>
        <v/>
      </c>
      <c r="S219" s="46">
        <f>IF($A219="","",IF(O219="",0,LEN(O219)-LEN(SUBSTITUTE(O219," ",""))+1))</f>
        <v/>
      </c>
      <c r="T219" s="46">
        <f>IF($A219="","",IF(AND(O219&lt;&gt;"",OR(O219=M219,AND(N219&lt;&gt;"",ISNUMBER(FIND("|"&amp;O219&amp;"|","|"&amp;N219&amp;"|"))))),1,0))</f>
        <v/>
      </c>
      <c r="U219" s="46">
        <f>IF($A219="","",IF(AND(Q219&lt;&gt;"",OR(Q219=M219,AND(N219&lt;&gt;"",ISNUMBER(FIND("|"&amp;Q219&amp;"|","|"&amp;N219&amp;"|"))))),1,0))</f>
        <v/>
      </c>
      <c r="V219" s="46">
        <f>IF($A219="","",IF(P219=O219,1,0))</f>
        <v/>
      </c>
      <c r="W219" s="46">
        <f>IF($A219="","",IF(Q219=O219,1,0))</f>
        <v/>
      </c>
      <c r="X219" s="46">
        <f>IF(OR($A219="",$H219=""),"",IF(AND($H219=1,T219=1),"TA",IF(AND($H219=0,T219=1),"FA",IF($H219=1,"FR","TR"))))</f>
        <v/>
      </c>
      <c r="Y219" s="46">
        <f>IF(OR($A219="",$H219=""),"",IF(AND($H219=1,U219=1),"TA",IF(AND($H219=0,U219=1),"FA",IF($H219=1,"FR","TR"))))</f>
        <v/>
      </c>
    </row>
    <row r="220">
      <c r="A220" s="54" t="n"/>
      <c r="B220" s="54" t="n"/>
      <c r="C220" s="54" t="n"/>
      <c r="D220" s="54" t="n"/>
      <c r="E220" s="54" t="n"/>
      <c r="F220" s="54" t="n"/>
      <c r="G220" s="54" t="n"/>
      <c r="H220" s="54" t="n"/>
      <c r="I220" s="54" t="n"/>
      <c r="J220" s="54" t="n"/>
      <c r="K220" s="54" t="n"/>
      <c r="L220" s="54" t="n"/>
      <c r="M220" s="46">
        <f>IF($A220="","",LOWER(TRIM(SUBSTITUTE(SUBSTITUTE(SUBSTITUTE(SUBSTITUTE(SUBSTITUTE(SUBSTITUTE(SUBSTITUTE(SUBSTITUTE(SUBSTITUTE(SUBSTITUTE(SUBSTITUTE(C220,".",""),",",""),";",""),":",""),"!",""),"?",""),"""",""),"'",""),"’",""),"“",""),"”",""))))</f>
        <v/>
      </c>
      <c r="N220" s="46">
        <f>IF($A220="","",SUBSTITUTE(SUBSTITUTE(LOWER(TRIM(SUBSTITUTE(SUBSTITUTE(SUBSTITUTE(SUBSTITUTE(SUBSTITUTE(SUBSTITUTE(SUBSTITUTE(SUBSTITUTE(SUBSTITUTE(SUBSTITUTE(SUBSTITUTE(D220,".",""),",",""),";",""),":",""),"!",""),"?",""),"""",""),"'",""),"’",""),"“",""),"”","")))," |","|"),"| ","|"))</f>
        <v/>
      </c>
      <c r="O220" s="46">
        <f>IF($A220="","",LOWER(TRIM(SUBSTITUTE(SUBSTITUTE(SUBSTITUTE(SUBSTITUTE(SUBSTITUTE(SUBSTITUTE(SUBSTITUTE(SUBSTITUTE(SUBSTITUTE(SUBSTITUTE(SUBSTITUTE(E220,".",""),",",""),";",""),":",""),"!",""),"?",""),"""",""),"'",""),"’",""),"“",""),"”",""))))</f>
        <v/>
      </c>
      <c r="P220" s="46">
        <f>IF($A220="","",LOWER(TRIM(SUBSTITUTE(SUBSTITUTE(SUBSTITUTE(SUBSTITUTE(SUBSTITUTE(SUBSTITUTE(SUBSTITUTE(SUBSTITUTE(SUBSTITUTE(SUBSTITUTE(SUBSTITUTE(F220,".",""),",",""),";",""),":",""),"!",""),"?",""),"""",""),"'",""),"’",""),"“",""),"”",""))))</f>
        <v/>
      </c>
      <c r="Q220" s="46">
        <f>IF($A220="","",LOWER(TRIM(SUBSTITUTE(SUBSTITUTE(SUBSTITUTE(SUBSTITUTE(SUBSTITUTE(SUBSTITUTE(SUBSTITUTE(SUBSTITUTE(SUBSTITUTE(SUBSTITUTE(SUBSTITUTE(G220,".",""),",",""),";",""),":",""),"!",""),"?",""),"""",""),"'",""),"’",""),"“",""),"”",""))))</f>
        <v/>
      </c>
      <c r="R220" s="46">
        <f>IF($A220="","",LEN(O220))</f>
        <v/>
      </c>
      <c r="S220" s="46">
        <f>IF($A220="","",IF(O220="",0,LEN(O220)-LEN(SUBSTITUTE(O220," ",""))+1))</f>
        <v/>
      </c>
      <c r="T220" s="46">
        <f>IF($A220="","",IF(AND(O220&lt;&gt;"",OR(O220=M220,AND(N220&lt;&gt;"",ISNUMBER(FIND("|"&amp;O220&amp;"|","|"&amp;N220&amp;"|"))))),1,0))</f>
        <v/>
      </c>
      <c r="U220" s="46">
        <f>IF($A220="","",IF(AND(Q220&lt;&gt;"",OR(Q220=M220,AND(N220&lt;&gt;"",ISNUMBER(FIND("|"&amp;Q220&amp;"|","|"&amp;N220&amp;"|"))))),1,0))</f>
        <v/>
      </c>
      <c r="V220" s="46">
        <f>IF($A220="","",IF(P220=O220,1,0))</f>
        <v/>
      </c>
      <c r="W220" s="46">
        <f>IF($A220="","",IF(Q220=O220,1,0))</f>
        <v/>
      </c>
      <c r="X220" s="46">
        <f>IF(OR($A220="",$H220=""),"",IF(AND($H220=1,T220=1),"TA",IF(AND($H220=0,T220=1),"FA",IF($H220=1,"FR","TR"))))</f>
        <v/>
      </c>
      <c r="Y220" s="46">
        <f>IF(OR($A220="",$H220=""),"",IF(AND($H220=1,U220=1),"TA",IF(AND($H220=0,U220=1),"FA",IF($H220=1,"FR","TR"))))</f>
        <v/>
      </c>
    </row>
    <row r="221">
      <c r="A221" s="54" t="n"/>
      <c r="B221" s="54" t="n"/>
      <c r="C221" s="54" t="n"/>
      <c r="D221" s="54" t="n"/>
      <c r="E221" s="54" t="n"/>
      <c r="F221" s="54" t="n"/>
      <c r="G221" s="54" t="n"/>
      <c r="H221" s="54" t="n"/>
      <c r="I221" s="54" t="n"/>
      <c r="J221" s="54" t="n"/>
      <c r="K221" s="54" t="n"/>
      <c r="L221" s="54" t="n"/>
      <c r="M221" s="46">
        <f>IF($A221="","",LOWER(TRIM(SUBSTITUTE(SUBSTITUTE(SUBSTITUTE(SUBSTITUTE(SUBSTITUTE(SUBSTITUTE(SUBSTITUTE(SUBSTITUTE(SUBSTITUTE(SUBSTITUTE(SUBSTITUTE(C221,".",""),",",""),";",""),":",""),"!",""),"?",""),"""",""),"'",""),"’",""),"“",""),"”",""))))</f>
        <v/>
      </c>
      <c r="N221" s="46">
        <f>IF($A221="","",SUBSTITUTE(SUBSTITUTE(LOWER(TRIM(SUBSTITUTE(SUBSTITUTE(SUBSTITUTE(SUBSTITUTE(SUBSTITUTE(SUBSTITUTE(SUBSTITUTE(SUBSTITUTE(SUBSTITUTE(SUBSTITUTE(SUBSTITUTE(D221,".",""),",",""),";",""),":",""),"!",""),"?",""),"""",""),"'",""),"’",""),"“",""),"”","")))," |","|"),"| ","|"))</f>
        <v/>
      </c>
      <c r="O221" s="46">
        <f>IF($A221="","",LOWER(TRIM(SUBSTITUTE(SUBSTITUTE(SUBSTITUTE(SUBSTITUTE(SUBSTITUTE(SUBSTITUTE(SUBSTITUTE(SUBSTITUTE(SUBSTITUTE(SUBSTITUTE(SUBSTITUTE(E221,".",""),",",""),";",""),":",""),"!",""),"?",""),"""",""),"'",""),"’",""),"“",""),"”",""))))</f>
        <v/>
      </c>
      <c r="P221" s="46">
        <f>IF($A221="","",LOWER(TRIM(SUBSTITUTE(SUBSTITUTE(SUBSTITUTE(SUBSTITUTE(SUBSTITUTE(SUBSTITUTE(SUBSTITUTE(SUBSTITUTE(SUBSTITUTE(SUBSTITUTE(SUBSTITUTE(F221,".",""),",",""),";",""),":",""),"!",""),"?",""),"""",""),"'",""),"’",""),"“",""),"”",""))))</f>
        <v/>
      </c>
      <c r="Q221" s="46">
        <f>IF($A221="","",LOWER(TRIM(SUBSTITUTE(SUBSTITUTE(SUBSTITUTE(SUBSTITUTE(SUBSTITUTE(SUBSTITUTE(SUBSTITUTE(SUBSTITUTE(SUBSTITUTE(SUBSTITUTE(SUBSTITUTE(G221,".",""),",",""),";",""),":",""),"!",""),"?",""),"""",""),"'",""),"’",""),"“",""),"”",""))))</f>
        <v/>
      </c>
      <c r="R221" s="46">
        <f>IF($A221="","",LEN(O221))</f>
        <v/>
      </c>
      <c r="S221" s="46">
        <f>IF($A221="","",IF(O221="",0,LEN(O221)-LEN(SUBSTITUTE(O221," ",""))+1))</f>
        <v/>
      </c>
      <c r="T221" s="46">
        <f>IF($A221="","",IF(AND(O221&lt;&gt;"",OR(O221=M221,AND(N221&lt;&gt;"",ISNUMBER(FIND("|"&amp;O221&amp;"|","|"&amp;N221&amp;"|"))))),1,0))</f>
        <v/>
      </c>
      <c r="U221" s="46">
        <f>IF($A221="","",IF(AND(Q221&lt;&gt;"",OR(Q221=M221,AND(N221&lt;&gt;"",ISNUMBER(FIND("|"&amp;Q221&amp;"|","|"&amp;N221&amp;"|"))))),1,0))</f>
        <v/>
      </c>
      <c r="V221" s="46">
        <f>IF($A221="","",IF(P221=O221,1,0))</f>
        <v/>
      </c>
      <c r="W221" s="46">
        <f>IF($A221="","",IF(Q221=O221,1,0))</f>
        <v/>
      </c>
      <c r="X221" s="46">
        <f>IF(OR($A221="",$H221=""),"",IF(AND($H221=1,T221=1),"TA",IF(AND($H221=0,T221=1),"FA",IF($H221=1,"FR","TR"))))</f>
        <v/>
      </c>
      <c r="Y221" s="46">
        <f>IF(OR($A221="",$H221=""),"",IF(AND($H221=1,U221=1),"TA",IF(AND($H221=0,U221=1),"FA",IF($H221=1,"FR","TR"))))</f>
        <v/>
      </c>
    </row>
    <row r="222">
      <c r="A222" s="54" t="n"/>
      <c r="B222" s="54" t="n"/>
      <c r="C222" s="54" t="n"/>
      <c r="D222" s="54" t="n"/>
      <c r="E222" s="54" t="n"/>
      <c r="F222" s="54" t="n"/>
      <c r="G222" s="54" t="n"/>
      <c r="H222" s="54" t="n"/>
      <c r="I222" s="54" t="n"/>
      <c r="J222" s="54" t="n"/>
      <c r="K222" s="54" t="n"/>
      <c r="L222" s="54" t="n"/>
      <c r="M222" s="46">
        <f>IF($A222="","",LOWER(TRIM(SUBSTITUTE(SUBSTITUTE(SUBSTITUTE(SUBSTITUTE(SUBSTITUTE(SUBSTITUTE(SUBSTITUTE(SUBSTITUTE(SUBSTITUTE(SUBSTITUTE(SUBSTITUTE(C222,".",""),",",""),";",""),":",""),"!",""),"?",""),"""",""),"'",""),"’",""),"“",""),"”",""))))</f>
        <v/>
      </c>
      <c r="N222" s="46">
        <f>IF($A222="","",SUBSTITUTE(SUBSTITUTE(LOWER(TRIM(SUBSTITUTE(SUBSTITUTE(SUBSTITUTE(SUBSTITUTE(SUBSTITUTE(SUBSTITUTE(SUBSTITUTE(SUBSTITUTE(SUBSTITUTE(SUBSTITUTE(SUBSTITUTE(D222,".",""),",",""),";",""),":",""),"!",""),"?",""),"""",""),"'",""),"’",""),"“",""),"”","")))," |","|"),"| ","|"))</f>
        <v/>
      </c>
      <c r="O222" s="46">
        <f>IF($A222="","",LOWER(TRIM(SUBSTITUTE(SUBSTITUTE(SUBSTITUTE(SUBSTITUTE(SUBSTITUTE(SUBSTITUTE(SUBSTITUTE(SUBSTITUTE(SUBSTITUTE(SUBSTITUTE(SUBSTITUTE(E222,".",""),",",""),";",""),":",""),"!",""),"?",""),"""",""),"'",""),"’",""),"“",""),"”",""))))</f>
        <v/>
      </c>
      <c r="P222" s="46">
        <f>IF($A222="","",LOWER(TRIM(SUBSTITUTE(SUBSTITUTE(SUBSTITUTE(SUBSTITUTE(SUBSTITUTE(SUBSTITUTE(SUBSTITUTE(SUBSTITUTE(SUBSTITUTE(SUBSTITUTE(SUBSTITUTE(F222,".",""),",",""),";",""),":",""),"!",""),"?",""),"""",""),"'",""),"’",""),"“",""),"”",""))))</f>
        <v/>
      </c>
      <c r="Q222" s="46">
        <f>IF($A222="","",LOWER(TRIM(SUBSTITUTE(SUBSTITUTE(SUBSTITUTE(SUBSTITUTE(SUBSTITUTE(SUBSTITUTE(SUBSTITUTE(SUBSTITUTE(SUBSTITUTE(SUBSTITUTE(SUBSTITUTE(G222,".",""),",",""),";",""),":",""),"!",""),"?",""),"""",""),"'",""),"’",""),"“",""),"”",""))))</f>
        <v/>
      </c>
      <c r="R222" s="46">
        <f>IF($A222="","",LEN(O222))</f>
        <v/>
      </c>
      <c r="S222" s="46">
        <f>IF($A222="","",IF(O222="",0,LEN(O222)-LEN(SUBSTITUTE(O222," ",""))+1))</f>
        <v/>
      </c>
      <c r="T222" s="46">
        <f>IF($A222="","",IF(AND(O222&lt;&gt;"",OR(O222=M222,AND(N222&lt;&gt;"",ISNUMBER(FIND("|"&amp;O222&amp;"|","|"&amp;N222&amp;"|"))))),1,0))</f>
        <v/>
      </c>
      <c r="U222" s="46">
        <f>IF($A222="","",IF(AND(Q222&lt;&gt;"",OR(Q222=M222,AND(N222&lt;&gt;"",ISNUMBER(FIND("|"&amp;Q222&amp;"|","|"&amp;N222&amp;"|"))))),1,0))</f>
        <v/>
      </c>
      <c r="V222" s="46">
        <f>IF($A222="","",IF(P222=O222,1,0))</f>
        <v/>
      </c>
      <c r="W222" s="46">
        <f>IF($A222="","",IF(Q222=O222,1,0))</f>
        <v/>
      </c>
      <c r="X222" s="46">
        <f>IF(OR($A222="",$H222=""),"",IF(AND($H222=1,T222=1),"TA",IF(AND($H222=0,T222=1),"FA",IF($H222=1,"FR","TR"))))</f>
        <v/>
      </c>
      <c r="Y222" s="46">
        <f>IF(OR($A222="",$H222=""),"",IF(AND($H222=1,U222=1),"TA",IF(AND($H222=0,U222=1),"FA",IF($H222=1,"FR","TR"))))</f>
        <v/>
      </c>
    </row>
    <row r="223">
      <c r="A223" s="54" t="n"/>
      <c r="B223" s="54" t="n"/>
      <c r="C223" s="54" t="n"/>
      <c r="D223" s="54" t="n"/>
      <c r="E223" s="54" t="n"/>
      <c r="F223" s="54" t="n"/>
      <c r="G223" s="54" t="n"/>
      <c r="H223" s="54" t="n"/>
      <c r="I223" s="54" t="n"/>
      <c r="J223" s="54" t="n"/>
      <c r="K223" s="54" t="n"/>
      <c r="L223" s="54" t="n"/>
      <c r="M223" s="46">
        <f>IF($A223="","",LOWER(TRIM(SUBSTITUTE(SUBSTITUTE(SUBSTITUTE(SUBSTITUTE(SUBSTITUTE(SUBSTITUTE(SUBSTITUTE(SUBSTITUTE(SUBSTITUTE(SUBSTITUTE(SUBSTITUTE(C223,".",""),",",""),";",""),":",""),"!",""),"?",""),"""",""),"'",""),"’",""),"“",""),"”",""))))</f>
        <v/>
      </c>
      <c r="N223" s="46">
        <f>IF($A223="","",SUBSTITUTE(SUBSTITUTE(LOWER(TRIM(SUBSTITUTE(SUBSTITUTE(SUBSTITUTE(SUBSTITUTE(SUBSTITUTE(SUBSTITUTE(SUBSTITUTE(SUBSTITUTE(SUBSTITUTE(SUBSTITUTE(SUBSTITUTE(D223,".",""),",",""),";",""),":",""),"!",""),"?",""),"""",""),"'",""),"’",""),"“",""),"”","")))," |","|"),"| ","|"))</f>
        <v/>
      </c>
      <c r="O223" s="46">
        <f>IF($A223="","",LOWER(TRIM(SUBSTITUTE(SUBSTITUTE(SUBSTITUTE(SUBSTITUTE(SUBSTITUTE(SUBSTITUTE(SUBSTITUTE(SUBSTITUTE(SUBSTITUTE(SUBSTITUTE(SUBSTITUTE(E223,".",""),",",""),";",""),":",""),"!",""),"?",""),"""",""),"'",""),"’",""),"“",""),"”",""))))</f>
        <v/>
      </c>
      <c r="P223" s="46">
        <f>IF($A223="","",LOWER(TRIM(SUBSTITUTE(SUBSTITUTE(SUBSTITUTE(SUBSTITUTE(SUBSTITUTE(SUBSTITUTE(SUBSTITUTE(SUBSTITUTE(SUBSTITUTE(SUBSTITUTE(SUBSTITUTE(F223,".",""),",",""),";",""),":",""),"!",""),"?",""),"""",""),"'",""),"’",""),"“",""),"”",""))))</f>
        <v/>
      </c>
      <c r="Q223" s="46">
        <f>IF($A223="","",LOWER(TRIM(SUBSTITUTE(SUBSTITUTE(SUBSTITUTE(SUBSTITUTE(SUBSTITUTE(SUBSTITUTE(SUBSTITUTE(SUBSTITUTE(SUBSTITUTE(SUBSTITUTE(SUBSTITUTE(G223,".",""),",",""),";",""),":",""),"!",""),"?",""),"""",""),"'",""),"’",""),"“",""),"”",""))))</f>
        <v/>
      </c>
      <c r="R223" s="46">
        <f>IF($A223="","",LEN(O223))</f>
        <v/>
      </c>
      <c r="S223" s="46">
        <f>IF($A223="","",IF(O223="",0,LEN(O223)-LEN(SUBSTITUTE(O223," ",""))+1))</f>
        <v/>
      </c>
      <c r="T223" s="46">
        <f>IF($A223="","",IF(AND(O223&lt;&gt;"",OR(O223=M223,AND(N223&lt;&gt;"",ISNUMBER(FIND("|"&amp;O223&amp;"|","|"&amp;N223&amp;"|"))))),1,0))</f>
        <v/>
      </c>
      <c r="U223" s="46">
        <f>IF($A223="","",IF(AND(Q223&lt;&gt;"",OR(Q223=M223,AND(N223&lt;&gt;"",ISNUMBER(FIND("|"&amp;Q223&amp;"|","|"&amp;N223&amp;"|"))))),1,0))</f>
        <v/>
      </c>
      <c r="V223" s="46">
        <f>IF($A223="","",IF(P223=O223,1,0))</f>
        <v/>
      </c>
      <c r="W223" s="46">
        <f>IF($A223="","",IF(Q223=O223,1,0))</f>
        <v/>
      </c>
      <c r="X223" s="46">
        <f>IF(OR($A223="",$H223=""),"",IF(AND($H223=1,T223=1),"TA",IF(AND($H223=0,T223=1),"FA",IF($H223=1,"FR","TR"))))</f>
        <v/>
      </c>
      <c r="Y223" s="46">
        <f>IF(OR($A223="",$H223=""),"",IF(AND($H223=1,U223=1),"TA",IF(AND($H223=0,U223=1),"FA",IF($H223=1,"FR","TR"))))</f>
        <v/>
      </c>
    </row>
    <row r="224">
      <c r="A224" s="54" t="n"/>
      <c r="B224" s="54" t="n"/>
      <c r="C224" s="54" t="n"/>
      <c r="D224" s="54" t="n"/>
      <c r="E224" s="54" t="n"/>
      <c r="F224" s="54" t="n"/>
      <c r="G224" s="54" t="n"/>
      <c r="H224" s="54" t="n"/>
      <c r="I224" s="54" t="n"/>
      <c r="J224" s="54" t="n"/>
      <c r="K224" s="54" t="n"/>
      <c r="L224" s="54" t="n"/>
      <c r="M224" s="46">
        <f>IF($A224="","",LOWER(TRIM(SUBSTITUTE(SUBSTITUTE(SUBSTITUTE(SUBSTITUTE(SUBSTITUTE(SUBSTITUTE(SUBSTITUTE(SUBSTITUTE(SUBSTITUTE(SUBSTITUTE(SUBSTITUTE(C224,".",""),",",""),";",""),":",""),"!",""),"?",""),"""",""),"'",""),"’",""),"“",""),"”",""))))</f>
        <v/>
      </c>
      <c r="N224" s="46">
        <f>IF($A224="","",SUBSTITUTE(SUBSTITUTE(LOWER(TRIM(SUBSTITUTE(SUBSTITUTE(SUBSTITUTE(SUBSTITUTE(SUBSTITUTE(SUBSTITUTE(SUBSTITUTE(SUBSTITUTE(SUBSTITUTE(SUBSTITUTE(SUBSTITUTE(D224,".",""),",",""),";",""),":",""),"!",""),"?",""),"""",""),"'",""),"’",""),"“",""),"”","")))," |","|"),"| ","|"))</f>
        <v/>
      </c>
      <c r="O224" s="46">
        <f>IF($A224="","",LOWER(TRIM(SUBSTITUTE(SUBSTITUTE(SUBSTITUTE(SUBSTITUTE(SUBSTITUTE(SUBSTITUTE(SUBSTITUTE(SUBSTITUTE(SUBSTITUTE(SUBSTITUTE(SUBSTITUTE(E224,".",""),",",""),";",""),":",""),"!",""),"?",""),"""",""),"'",""),"’",""),"“",""),"”",""))))</f>
        <v/>
      </c>
      <c r="P224" s="46">
        <f>IF($A224="","",LOWER(TRIM(SUBSTITUTE(SUBSTITUTE(SUBSTITUTE(SUBSTITUTE(SUBSTITUTE(SUBSTITUTE(SUBSTITUTE(SUBSTITUTE(SUBSTITUTE(SUBSTITUTE(SUBSTITUTE(F224,".",""),",",""),";",""),":",""),"!",""),"?",""),"""",""),"'",""),"’",""),"“",""),"”",""))))</f>
        <v/>
      </c>
      <c r="Q224" s="46">
        <f>IF($A224="","",LOWER(TRIM(SUBSTITUTE(SUBSTITUTE(SUBSTITUTE(SUBSTITUTE(SUBSTITUTE(SUBSTITUTE(SUBSTITUTE(SUBSTITUTE(SUBSTITUTE(SUBSTITUTE(SUBSTITUTE(G224,".",""),",",""),";",""),":",""),"!",""),"?",""),"""",""),"'",""),"’",""),"“",""),"”",""))))</f>
        <v/>
      </c>
      <c r="R224" s="46">
        <f>IF($A224="","",LEN(O224))</f>
        <v/>
      </c>
      <c r="S224" s="46">
        <f>IF($A224="","",IF(O224="",0,LEN(O224)-LEN(SUBSTITUTE(O224," ",""))+1))</f>
        <v/>
      </c>
      <c r="T224" s="46">
        <f>IF($A224="","",IF(AND(O224&lt;&gt;"",OR(O224=M224,AND(N224&lt;&gt;"",ISNUMBER(FIND("|"&amp;O224&amp;"|","|"&amp;N224&amp;"|"))))),1,0))</f>
        <v/>
      </c>
      <c r="U224" s="46">
        <f>IF($A224="","",IF(AND(Q224&lt;&gt;"",OR(Q224=M224,AND(N224&lt;&gt;"",ISNUMBER(FIND("|"&amp;Q224&amp;"|","|"&amp;N224&amp;"|"))))),1,0))</f>
        <v/>
      </c>
      <c r="V224" s="46">
        <f>IF($A224="","",IF(P224=O224,1,0))</f>
        <v/>
      </c>
      <c r="W224" s="46">
        <f>IF($A224="","",IF(Q224=O224,1,0))</f>
        <v/>
      </c>
      <c r="X224" s="46">
        <f>IF(OR($A224="",$H224=""),"",IF(AND($H224=1,T224=1),"TA",IF(AND($H224=0,T224=1),"FA",IF($H224=1,"FR","TR"))))</f>
        <v/>
      </c>
      <c r="Y224" s="46">
        <f>IF(OR($A224="",$H224=""),"",IF(AND($H224=1,U224=1),"TA",IF(AND($H224=0,U224=1),"FA",IF($H224=1,"FR","TR"))))</f>
        <v/>
      </c>
    </row>
    <row r="225">
      <c r="A225" s="54" t="n"/>
      <c r="B225" s="54" t="n"/>
      <c r="C225" s="54" t="n"/>
      <c r="D225" s="54" t="n"/>
      <c r="E225" s="54" t="n"/>
      <c r="F225" s="54" t="n"/>
      <c r="G225" s="54" t="n"/>
      <c r="H225" s="54" t="n"/>
      <c r="I225" s="54" t="n"/>
      <c r="J225" s="54" t="n"/>
      <c r="K225" s="54" t="n"/>
      <c r="L225" s="54" t="n"/>
      <c r="M225" s="46">
        <f>IF($A225="","",LOWER(TRIM(SUBSTITUTE(SUBSTITUTE(SUBSTITUTE(SUBSTITUTE(SUBSTITUTE(SUBSTITUTE(SUBSTITUTE(SUBSTITUTE(SUBSTITUTE(SUBSTITUTE(SUBSTITUTE(C225,".",""),",",""),";",""),":",""),"!",""),"?",""),"""",""),"'",""),"’",""),"“",""),"”",""))))</f>
        <v/>
      </c>
      <c r="N225" s="46">
        <f>IF($A225="","",SUBSTITUTE(SUBSTITUTE(LOWER(TRIM(SUBSTITUTE(SUBSTITUTE(SUBSTITUTE(SUBSTITUTE(SUBSTITUTE(SUBSTITUTE(SUBSTITUTE(SUBSTITUTE(SUBSTITUTE(SUBSTITUTE(SUBSTITUTE(D225,".",""),",",""),";",""),":",""),"!",""),"?",""),"""",""),"'",""),"’",""),"“",""),"”","")))," |","|"),"| ","|"))</f>
        <v/>
      </c>
      <c r="O225" s="46">
        <f>IF($A225="","",LOWER(TRIM(SUBSTITUTE(SUBSTITUTE(SUBSTITUTE(SUBSTITUTE(SUBSTITUTE(SUBSTITUTE(SUBSTITUTE(SUBSTITUTE(SUBSTITUTE(SUBSTITUTE(SUBSTITUTE(E225,".",""),",",""),";",""),":",""),"!",""),"?",""),"""",""),"'",""),"’",""),"“",""),"”",""))))</f>
        <v/>
      </c>
      <c r="P225" s="46">
        <f>IF($A225="","",LOWER(TRIM(SUBSTITUTE(SUBSTITUTE(SUBSTITUTE(SUBSTITUTE(SUBSTITUTE(SUBSTITUTE(SUBSTITUTE(SUBSTITUTE(SUBSTITUTE(SUBSTITUTE(SUBSTITUTE(F225,".",""),",",""),";",""),":",""),"!",""),"?",""),"""",""),"'",""),"’",""),"“",""),"”",""))))</f>
        <v/>
      </c>
      <c r="Q225" s="46">
        <f>IF($A225="","",LOWER(TRIM(SUBSTITUTE(SUBSTITUTE(SUBSTITUTE(SUBSTITUTE(SUBSTITUTE(SUBSTITUTE(SUBSTITUTE(SUBSTITUTE(SUBSTITUTE(SUBSTITUTE(SUBSTITUTE(G225,".",""),",",""),";",""),":",""),"!",""),"?",""),"""",""),"'",""),"’",""),"“",""),"”",""))))</f>
        <v/>
      </c>
      <c r="R225" s="46">
        <f>IF($A225="","",LEN(O225))</f>
        <v/>
      </c>
      <c r="S225" s="46">
        <f>IF($A225="","",IF(O225="",0,LEN(O225)-LEN(SUBSTITUTE(O225," ",""))+1))</f>
        <v/>
      </c>
      <c r="T225" s="46">
        <f>IF($A225="","",IF(AND(O225&lt;&gt;"",OR(O225=M225,AND(N225&lt;&gt;"",ISNUMBER(FIND("|"&amp;O225&amp;"|","|"&amp;N225&amp;"|"))))),1,0))</f>
        <v/>
      </c>
      <c r="U225" s="46">
        <f>IF($A225="","",IF(AND(Q225&lt;&gt;"",OR(Q225=M225,AND(N225&lt;&gt;"",ISNUMBER(FIND("|"&amp;Q225&amp;"|","|"&amp;N225&amp;"|"))))),1,0))</f>
        <v/>
      </c>
      <c r="V225" s="46">
        <f>IF($A225="","",IF(P225=O225,1,0))</f>
        <v/>
      </c>
      <c r="W225" s="46">
        <f>IF($A225="","",IF(Q225=O225,1,0))</f>
        <v/>
      </c>
      <c r="X225" s="46">
        <f>IF(OR($A225="",$H225=""),"",IF(AND($H225=1,T225=1),"TA",IF(AND($H225=0,T225=1),"FA",IF($H225=1,"FR","TR"))))</f>
        <v/>
      </c>
      <c r="Y225" s="46">
        <f>IF(OR($A225="",$H225=""),"",IF(AND($H225=1,U225=1),"TA",IF(AND($H225=0,U225=1),"FA",IF($H225=1,"FR","TR"))))</f>
        <v/>
      </c>
    </row>
    <row r="226">
      <c r="A226" s="54" t="n"/>
      <c r="B226" s="54" t="n"/>
      <c r="C226" s="54" t="n"/>
      <c r="D226" s="54" t="n"/>
      <c r="E226" s="54" t="n"/>
      <c r="F226" s="54" t="n"/>
      <c r="G226" s="54" t="n"/>
      <c r="H226" s="54" t="n"/>
      <c r="I226" s="54" t="n"/>
      <c r="J226" s="54" t="n"/>
      <c r="K226" s="54" t="n"/>
      <c r="L226" s="54" t="n"/>
      <c r="M226" s="46">
        <f>IF($A226="","",LOWER(TRIM(SUBSTITUTE(SUBSTITUTE(SUBSTITUTE(SUBSTITUTE(SUBSTITUTE(SUBSTITUTE(SUBSTITUTE(SUBSTITUTE(SUBSTITUTE(SUBSTITUTE(SUBSTITUTE(C226,".",""),",",""),";",""),":",""),"!",""),"?",""),"""",""),"'",""),"’",""),"“",""),"”",""))))</f>
        <v/>
      </c>
      <c r="N226" s="46">
        <f>IF($A226="","",SUBSTITUTE(SUBSTITUTE(LOWER(TRIM(SUBSTITUTE(SUBSTITUTE(SUBSTITUTE(SUBSTITUTE(SUBSTITUTE(SUBSTITUTE(SUBSTITUTE(SUBSTITUTE(SUBSTITUTE(SUBSTITUTE(SUBSTITUTE(D226,".",""),",",""),";",""),":",""),"!",""),"?",""),"""",""),"'",""),"’",""),"“",""),"”","")))," |","|"),"| ","|"))</f>
        <v/>
      </c>
      <c r="O226" s="46">
        <f>IF($A226="","",LOWER(TRIM(SUBSTITUTE(SUBSTITUTE(SUBSTITUTE(SUBSTITUTE(SUBSTITUTE(SUBSTITUTE(SUBSTITUTE(SUBSTITUTE(SUBSTITUTE(SUBSTITUTE(SUBSTITUTE(E226,".",""),",",""),";",""),":",""),"!",""),"?",""),"""",""),"'",""),"’",""),"“",""),"”",""))))</f>
        <v/>
      </c>
      <c r="P226" s="46">
        <f>IF($A226="","",LOWER(TRIM(SUBSTITUTE(SUBSTITUTE(SUBSTITUTE(SUBSTITUTE(SUBSTITUTE(SUBSTITUTE(SUBSTITUTE(SUBSTITUTE(SUBSTITUTE(SUBSTITUTE(SUBSTITUTE(F226,".",""),",",""),";",""),":",""),"!",""),"?",""),"""",""),"'",""),"’",""),"“",""),"”",""))))</f>
        <v/>
      </c>
      <c r="Q226" s="46">
        <f>IF($A226="","",LOWER(TRIM(SUBSTITUTE(SUBSTITUTE(SUBSTITUTE(SUBSTITUTE(SUBSTITUTE(SUBSTITUTE(SUBSTITUTE(SUBSTITUTE(SUBSTITUTE(SUBSTITUTE(SUBSTITUTE(G226,".",""),",",""),";",""),":",""),"!",""),"?",""),"""",""),"'",""),"’",""),"“",""),"”",""))))</f>
        <v/>
      </c>
      <c r="R226" s="46">
        <f>IF($A226="","",LEN(O226))</f>
        <v/>
      </c>
      <c r="S226" s="46">
        <f>IF($A226="","",IF(O226="",0,LEN(O226)-LEN(SUBSTITUTE(O226," ",""))+1))</f>
        <v/>
      </c>
      <c r="T226" s="46">
        <f>IF($A226="","",IF(AND(O226&lt;&gt;"",OR(O226=M226,AND(N226&lt;&gt;"",ISNUMBER(FIND("|"&amp;O226&amp;"|","|"&amp;N226&amp;"|"))))),1,0))</f>
        <v/>
      </c>
      <c r="U226" s="46">
        <f>IF($A226="","",IF(AND(Q226&lt;&gt;"",OR(Q226=M226,AND(N226&lt;&gt;"",ISNUMBER(FIND("|"&amp;Q226&amp;"|","|"&amp;N226&amp;"|"))))),1,0))</f>
        <v/>
      </c>
      <c r="V226" s="46">
        <f>IF($A226="","",IF(P226=O226,1,0))</f>
        <v/>
      </c>
      <c r="W226" s="46">
        <f>IF($A226="","",IF(Q226=O226,1,0))</f>
        <v/>
      </c>
      <c r="X226" s="46">
        <f>IF(OR($A226="",$H226=""),"",IF(AND($H226=1,T226=1),"TA",IF(AND($H226=0,T226=1),"FA",IF($H226=1,"FR","TR"))))</f>
        <v/>
      </c>
      <c r="Y226" s="46">
        <f>IF(OR($A226="",$H226=""),"",IF(AND($H226=1,U226=1),"TA",IF(AND($H226=0,U226=1),"FA",IF($H226=1,"FR","TR"))))</f>
        <v/>
      </c>
    </row>
    <row r="227">
      <c r="A227" s="54" t="n"/>
      <c r="B227" s="54" t="n"/>
      <c r="C227" s="54" t="n"/>
      <c r="D227" s="54" t="n"/>
      <c r="E227" s="54" t="n"/>
      <c r="F227" s="54" t="n"/>
      <c r="G227" s="54" t="n"/>
      <c r="H227" s="54" t="n"/>
      <c r="I227" s="54" t="n"/>
      <c r="J227" s="54" t="n"/>
      <c r="K227" s="54" t="n"/>
      <c r="L227" s="54" t="n"/>
      <c r="M227" s="46">
        <f>IF($A227="","",LOWER(TRIM(SUBSTITUTE(SUBSTITUTE(SUBSTITUTE(SUBSTITUTE(SUBSTITUTE(SUBSTITUTE(SUBSTITUTE(SUBSTITUTE(SUBSTITUTE(SUBSTITUTE(SUBSTITUTE(C227,".",""),",",""),";",""),":",""),"!",""),"?",""),"""",""),"'",""),"’",""),"“",""),"”",""))))</f>
        <v/>
      </c>
      <c r="N227" s="46">
        <f>IF($A227="","",SUBSTITUTE(SUBSTITUTE(LOWER(TRIM(SUBSTITUTE(SUBSTITUTE(SUBSTITUTE(SUBSTITUTE(SUBSTITUTE(SUBSTITUTE(SUBSTITUTE(SUBSTITUTE(SUBSTITUTE(SUBSTITUTE(SUBSTITUTE(D227,".",""),",",""),";",""),":",""),"!",""),"?",""),"""",""),"'",""),"’",""),"“",""),"”","")))," |","|"),"| ","|"))</f>
        <v/>
      </c>
      <c r="O227" s="46">
        <f>IF($A227="","",LOWER(TRIM(SUBSTITUTE(SUBSTITUTE(SUBSTITUTE(SUBSTITUTE(SUBSTITUTE(SUBSTITUTE(SUBSTITUTE(SUBSTITUTE(SUBSTITUTE(SUBSTITUTE(SUBSTITUTE(E227,".",""),",",""),";",""),":",""),"!",""),"?",""),"""",""),"'",""),"’",""),"“",""),"”",""))))</f>
        <v/>
      </c>
      <c r="P227" s="46">
        <f>IF($A227="","",LOWER(TRIM(SUBSTITUTE(SUBSTITUTE(SUBSTITUTE(SUBSTITUTE(SUBSTITUTE(SUBSTITUTE(SUBSTITUTE(SUBSTITUTE(SUBSTITUTE(SUBSTITUTE(SUBSTITUTE(F227,".",""),",",""),";",""),":",""),"!",""),"?",""),"""",""),"'",""),"’",""),"“",""),"”",""))))</f>
        <v/>
      </c>
      <c r="Q227" s="46">
        <f>IF($A227="","",LOWER(TRIM(SUBSTITUTE(SUBSTITUTE(SUBSTITUTE(SUBSTITUTE(SUBSTITUTE(SUBSTITUTE(SUBSTITUTE(SUBSTITUTE(SUBSTITUTE(SUBSTITUTE(SUBSTITUTE(G227,".",""),",",""),";",""),":",""),"!",""),"?",""),"""",""),"'",""),"’",""),"“",""),"”",""))))</f>
        <v/>
      </c>
      <c r="R227" s="46">
        <f>IF($A227="","",LEN(O227))</f>
        <v/>
      </c>
      <c r="S227" s="46">
        <f>IF($A227="","",IF(O227="",0,LEN(O227)-LEN(SUBSTITUTE(O227," ",""))+1))</f>
        <v/>
      </c>
      <c r="T227" s="46">
        <f>IF($A227="","",IF(AND(O227&lt;&gt;"",OR(O227=M227,AND(N227&lt;&gt;"",ISNUMBER(FIND("|"&amp;O227&amp;"|","|"&amp;N227&amp;"|"))))),1,0))</f>
        <v/>
      </c>
      <c r="U227" s="46">
        <f>IF($A227="","",IF(AND(Q227&lt;&gt;"",OR(Q227=M227,AND(N227&lt;&gt;"",ISNUMBER(FIND("|"&amp;Q227&amp;"|","|"&amp;N227&amp;"|"))))),1,0))</f>
        <v/>
      </c>
      <c r="V227" s="46">
        <f>IF($A227="","",IF(P227=O227,1,0))</f>
        <v/>
      </c>
      <c r="W227" s="46">
        <f>IF($A227="","",IF(Q227=O227,1,0))</f>
        <v/>
      </c>
      <c r="X227" s="46">
        <f>IF(OR($A227="",$H227=""),"",IF(AND($H227=1,T227=1),"TA",IF(AND($H227=0,T227=1),"FA",IF($H227=1,"FR","TR"))))</f>
        <v/>
      </c>
      <c r="Y227" s="46">
        <f>IF(OR($A227="",$H227=""),"",IF(AND($H227=1,U227=1),"TA",IF(AND($H227=0,U227=1),"FA",IF($H227=1,"FR","TR"))))</f>
        <v/>
      </c>
    </row>
    <row r="228">
      <c r="A228" s="54" t="n"/>
      <c r="B228" s="54" t="n"/>
      <c r="C228" s="54" t="n"/>
      <c r="D228" s="54" t="n"/>
      <c r="E228" s="54" t="n"/>
      <c r="F228" s="54" t="n"/>
      <c r="G228" s="54" t="n"/>
      <c r="H228" s="54" t="n"/>
      <c r="I228" s="54" t="n"/>
      <c r="J228" s="54" t="n"/>
      <c r="K228" s="54" t="n"/>
      <c r="L228" s="54" t="n"/>
      <c r="M228" s="46">
        <f>IF($A228="","",LOWER(TRIM(SUBSTITUTE(SUBSTITUTE(SUBSTITUTE(SUBSTITUTE(SUBSTITUTE(SUBSTITUTE(SUBSTITUTE(SUBSTITUTE(SUBSTITUTE(SUBSTITUTE(SUBSTITUTE(C228,".",""),",",""),";",""),":",""),"!",""),"?",""),"""",""),"'",""),"’",""),"“",""),"”",""))))</f>
        <v/>
      </c>
      <c r="N228" s="46">
        <f>IF($A228="","",SUBSTITUTE(SUBSTITUTE(LOWER(TRIM(SUBSTITUTE(SUBSTITUTE(SUBSTITUTE(SUBSTITUTE(SUBSTITUTE(SUBSTITUTE(SUBSTITUTE(SUBSTITUTE(SUBSTITUTE(SUBSTITUTE(SUBSTITUTE(D228,".",""),",",""),";",""),":",""),"!",""),"?",""),"""",""),"'",""),"’",""),"“",""),"”","")))," |","|"),"| ","|"))</f>
        <v/>
      </c>
      <c r="O228" s="46">
        <f>IF($A228="","",LOWER(TRIM(SUBSTITUTE(SUBSTITUTE(SUBSTITUTE(SUBSTITUTE(SUBSTITUTE(SUBSTITUTE(SUBSTITUTE(SUBSTITUTE(SUBSTITUTE(SUBSTITUTE(SUBSTITUTE(E228,".",""),",",""),";",""),":",""),"!",""),"?",""),"""",""),"'",""),"’",""),"“",""),"”",""))))</f>
        <v/>
      </c>
      <c r="P228" s="46">
        <f>IF($A228="","",LOWER(TRIM(SUBSTITUTE(SUBSTITUTE(SUBSTITUTE(SUBSTITUTE(SUBSTITUTE(SUBSTITUTE(SUBSTITUTE(SUBSTITUTE(SUBSTITUTE(SUBSTITUTE(SUBSTITUTE(F228,".",""),",",""),";",""),":",""),"!",""),"?",""),"""",""),"'",""),"’",""),"“",""),"”",""))))</f>
        <v/>
      </c>
      <c r="Q228" s="46">
        <f>IF($A228="","",LOWER(TRIM(SUBSTITUTE(SUBSTITUTE(SUBSTITUTE(SUBSTITUTE(SUBSTITUTE(SUBSTITUTE(SUBSTITUTE(SUBSTITUTE(SUBSTITUTE(SUBSTITUTE(SUBSTITUTE(G228,".",""),",",""),";",""),":",""),"!",""),"?",""),"""",""),"'",""),"’",""),"“",""),"”",""))))</f>
        <v/>
      </c>
      <c r="R228" s="46">
        <f>IF($A228="","",LEN(O228))</f>
        <v/>
      </c>
      <c r="S228" s="46">
        <f>IF($A228="","",IF(O228="",0,LEN(O228)-LEN(SUBSTITUTE(O228," ",""))+1))</f>
        <v/>
      </c>
      <c r="T228" s="46">
        <f>IF($A228="","",IF(AND(O228&lt;&gt;"",OR(O228=M228,AND(N228&lt;&gt;"",ISNUMBER(FIND("|"&amp;O228&amp;"|","|"&amp;N228&amp;"|"))))),1,0))</f>
        <v/>
      </c>
      <c r="U228" s="46">
        <f>IF($A228="","",IF(AND(Q228&lt;&gt;"",OR(Q228=M228,AND(N228&lt;&gt;"",ISNUMBER(FIND("|"&amp;Q228&amp;"|","|"&amp;N228&amp;"|"))))),1,0))</f>
        <v/>
      </c>
      <c r="V228" s="46">
        <f>IF($A228="","",IF(P228=O228,1,0))</f>
        <v/>
      </c>
      <c r="W228" s="46">
        <f>IF($A228="","",IF(Q228=O228,1,0))</f>
        <v/>
      </c>
      <c r="X228" s="46">
        <f>IF(OR($A228="",$H228=""),"",IF(AND($H228=1,T228=1),"TA",IF(AND($H228=0,T228=1),"FA",IF($H228=1,"FR","TR"))))</f>
        <v/>
      </c>
      <c r="Y228" s="46">
        <f>IF(OR($A228="",$H228=""),"",IF(AND($H228=1,U228=1),"TA",IF(AND($H228=0,U228=1),"FA",IF($H228=1,"FR","TR"))))</f>
        <v/>
      </c>
    </row>
    <row r="229">
      <c r="A229" s="54" t="n"/>
      <c r="B229" s="54" t="n"/>
      <c r="C229" s="54" t="n"/>
      <c r="D229" s="54" t="n"/>
      <c r="E229" s="54" t="n"/>
      <c r="F229" s="54" t="n"/>
      <c r="G229" s="54" t="n"/>
      <c r="H229" s="54" t="n"/>
      <c r="I229" s="54" t="n"/>
      <c r="J229" s="54" t="n"/>
      <c r="K229" s="54" t="n"/>
      <c r="L229" s="54" t="n"/>
      <c r="M229" s="46">
        <f>IF($A229="","",LOWER(TRIM(SUBSTITUTE(SUBSTITUTE(SUBSTITUTE(SUBSTITUTE(SUBSTITUTE(SUBSTITUTE(SUBSTITUTE(SUBSTITUTE(SUBSTITUTE(SUBSTITUTE(SUBSTITUTE(C229,".",""),",",""),";",""),":",""),"!",""),"?",""),"""",""),"'",""),"’",""),"“",""),"”",""))))</f>
        <v/>
      </c>
      <c r="N229" s="46">
        <f>IF($A229="","",SUBSTITUTE(SUBSTITUTE(LOWER(TRIM(SUBSTITUTE(SUBSTITUTE(SUBSTITUTE(SUBSTITUTE(SUBSTITUTE(SUBSTITUTE(SUBSTITUTE(SUBSTITUTE(SUBSTITUTE(SUBSTITUTE(SUBSTITUTE(D229,".",""),",",""),";",""),":",""),"!",""),"?",""),"""",""),"'",""),"’",""),"“",""),"”","")))," |","|"),"| ","|"))</f>
        <v/>
      </c>
      <c r="O229" s="46">
        <f>IF($A229="","",LOWER(TRIM(SUBSTITUTE(SUBSTITUTE(SUBSTITUTE(SUBSTITUTE(SUBSTITUTE(SUBSTITUTE(SUBSTITUTE(SUBSTITUTE(SUBSTITUTE(SUBSTITUTE(SUBSTITUTE(E229,".",""),",",""),";",""),":",""),"!",""),"?",""),"""",""),"'",""),"’",""),"“",""),"”",""))))</f>
        <v/>
      </c>
      <c r="P229" s="46">
        <f>IF($A229="","",LOWER(TRIM(SUBSTITUTE(SUBSTITUTE(SUBSTITUTE(SUBSTITUTE(SUBSTITUTE(SUBSTITUTE(SUBSTITUTE(SUBSTITUTE(SUBSTITUTE(SUBSTITUTE(SUBSTITUTE(F229,".",""),",",""),";",""),":",""),"!",""),"?",""),"""",""),"'",""),"’",""),"“",""),"”",""))))</f>
        <v/>
      </c>
      <c r="Q229" s="46">
        <f>IF($A229="","",LOWER(TRIM(SUBSTITUTE(SUBSTITUTE(SUBSTITUTE(SUBSTITUTE(SUBSTITUTE(SUBSTITUTE(SUBSTITUTE(SUBSTITUTE(SUBSTITUTE(SUBSTITUTE(SUBSTITUTE(G229,".",""),",",""),";",""),":",""),"!",""),"?",""),"""",""),"'",""),"’",""),"“",""),"”",""))))</f>
        <v/>
      </c>
      <c r="R229" s="46">
        <f>IF($A229="","",LEN(O229))</f>
        <v/>
      </c>
      <c r="S229" s="46">
        <f>IF($A229="","",IF(O229="",0,LEN(O229)-LEN(SUBSTITUTE(O229," ",""))+1))</f>
        <v/>
      </c>
      <c r="T229" s="46">
        <f>IF($A229="","",IF(AND(O229&lt;&gt;"",OR(O229=M229,AND(N229&lt;&gt;"",ISNUMBER(FIND("|"&amp;O229&amp;"|","|"&amp;N229&amp;"|"))))),1,0))</f>
        <v/>
      </c>
      <c r="U229" s="46">
        <f>IF($A229="","",IF(AND(Q229&lt;&gt;"",OR(Q229=M229,AND(N229&lt;&gt;"",ISNUMBER(FIND("|"&amp;Q229&amp;"|","|"&amp;N229&amp;"|"))))),1,0))</f>
        <v/>
      </c>
      <c r="V229" s="46">
        <f>IF($A229="","",IF(P229=O229,1,0))</f>
        <v/>
      </c>
      <c r="W229" s="46">
        <f>IF($A229="","",IF(Q229=O229,1,0))</f>
        <v/>
      </c>
      <c r="X229" s="46">
        <f>IF(OR($A229="",$H229=""),"",IF(AND($H229=1,T229=1),"TA",IF(AND($H229=0,T229=1),"FA",IF($H229=1,"FR","TR"))))</f>
        <v/>
      </c>
      <c r="Y229" s="46">
        <f>IF(OR($A229="",$H229=""),"",IF(AND($H229=1,U229=1),"TA",IF(AND($H229=0,U229=1),"FA",IF($H229=1,"FR","TR"))))</f>
        <v/>
      </c>
    </row>
    <row r="230">
      <c r="A230" s="54" t="n"/>
      <c r="B230" s="54" t="n"/>
      <c r="C230" s="54" t="n"/>
      <c r="D230" s="54" t="n"/>
      <c r="E230" s="54" t="n"/>
      <c r="F230" s="54" t="n"/>
      <c r="G230" s="54" t="n"/>
      <c r="H230" s="54" t="n"/>
      <c r="I230" s="54" t="n"/>
      <c r="J230" s="54" t="n"/>
      <c r="K230" s="54" t="n"/>
      <c r="L230" s="54" t="n"/>
      <c r="M230" s="46">
        <f>IF($A230="","",LOWER(TRIM(SUBSTITUTE(SUBSTITUTE(SUBSTITUTE(SUBSTITUTE(SUBSTITUTE(SUBSTITUTE(SUBSTITUTE(SUBSTITUTE(SUBSTITUTE(SUBSTITUTE(SUBSTITUTE(C230,".",""),",",""),";",""),":",""),"!",""),"?",""),"""",""),"'",""),"’",""),"“",""),"”",""))))</f>
        <v/>
      </c>
      <c r="N230" s="46">
        <f>IF($A230="","",SUBSTITUTE(SUBSTITUTE(LOWER(TRIM(SUBSTITUTE(SUBSTITUTE(SUBSTITUTE(SUBSTITUTE(SUBSTITUTE(SUBSTITUTE(SUBSTITUTE(SUBSTITUTE(SUBSTITUTE(SUBSTITUTE(SUBSTITUTE(D230,".",""),",",""),";",""),":",""),"!",""),"?",""),"""",""),"'",""),"’",""),"“",""),"”","")))," |","|"),"| ","|"))</f>
        <v/>
      </c>
      <c r="O230" s="46">
        <f>IF($A230="","",LOWER(TRIM(SUBSTITUTE(SUBSTITUTE(SUBSTITUTE(SUBSTITUTE(SUBSTITUTE(SUBSTITUTE(SUBSTITUTE(SUBSTITUTE(SUBSTITUTE(SUBSTITUTE(SUBSTITUTE(E230,".",""),",",""),";",""),":",""),"!",""),"?",""),"""",""),"'",""),"’",""),"“",""),"”",""))))</f>
        <v/>
      </c>
      <c r="P230" s="46">
        <f>IF($A230="","",LOWER(TRIM(SUBSTITUTE(SUBSTITUTE(SUBSTITUTE(SUBSTITUTE(SUBSTITUTE(SUBSTITUTE(SUBSTITUTE(SUBSTITUTE(SUBSTITUTE(SUBSTITUTE(SUBSTITUTE(F230,".",""),",",""),";",""),":",""),"!",""),"?",""),"""",""),"'",""),"’",""),"“",""),"”",""))))</f>
        <v/>
      </c>
      <c r="Q230" s="46">
        <f>IF($A230="","",LOWER(TRIM(SUBSTITUTE(SUBSTITUTE(SUBSTITUTE(SUBSTITUTE(SUBSTITUTE(SUBSTITUTE(SUBSTITUTE(SUBSTITUTE(SUBSTITUTE(SUBSTITUTE(SUBSTITUTE(G230,".",""),",",""),";",""),":",""),"!",""),"?",""),"""",""),"'",""),"’",""),"“",""),"”",""))))</f>
        <v/>
      </c>
      <c r="R230" s="46">
        <f>IF($A230="","",LEN(O230))</f>
        <v/>
      </c>
      <c r="S230" s="46">
        <f>IF($A230="","",IF(O230="",0,LEN(O230)-LEN(SUBSTITUTE(O230," ",""))+1))</f>
        <v/>
      </c>
      <c r="T230" s="46">
        <f>IF($A230="","",IF(AND(O230&lt;&gt;"",OR(O230=M230,AND(N230&lt;&gt;"",ISNUMBER(FIND("|"&amp;O230&amp;"|","|"&amp;N230&amp;"|"))))),1,0))</f>
        <v/>
      </c>
      <c r="U230" s="46">
        <f>IF($A230="","",IF(AND(Q230&lt;&gt;"",OR(Q230=M230,AND(N230&lt;&gt;"",ISNUMBER(FIND("|"&amp;Q230&amp;"|","|"&amp;N230&amp;"|"))))),1,0))</f>
        <v/>
      </c>
      <c r="V230" s="46">
        <f>IF($A230="","",IF(P230=O230,1,0))</f>
        <v/>
      </c>
      <c r="W230" s="46">
        <f>IF($A230="","",IF(Q230=O230,1,0))</f>
        <v/>
      </c>
      <c r="X230" s="46">
        <f>IF(OR($A230="",$H230=""),"",IF(AND($H230=1,T230=1),"TA",IF(AND($H230=0,T230=1),"FA",IF($H230=1,"FR","TR"))))</f>
        <v/>
      </c>
      <c r="Y230" s="46">
        <f>IF(OR($A230="",$H230=""),"",IF(AND($H230=1,U230=1),"TA",IF(AND($H230=0,U230=1),"FA",IF($H230=1,"FR","TR"))))</f>
        <v/>
      </c>
    </row>
    <row r="231">
      <c r="A231" s="54" t="n"/>
      <c r="B231" s="54" t="n"/>
      <c r="C231" s="54" t="n"/>
      <c r="D231" s="54" t="n"/>
      <c r="E231" s="54" t="n"/>
      <c r="F231" s="54" t="n"/>
      <c r="G231" s="54" t="n"/>
      <c r="H231" s="54" t="n"/>
      <c r="I231" s="54" t="n"/>
      <c r="J231" s="54" t="n"/>
      <c r="K231" s="54" t="n"/>
      <c r="L231" s="54" t="n"/>
      <c r="M231" s="46">
        <f>IF($A231="","",LOWER(TRIM(SUBSTITUTE(SUBSTITUTE(SUBSTITUTE(SUBSTITUTE(SUBSTITUTE(SUBSTITUTE(SUBSTITUTE(SUBSTITUTE(SUBSTITUTE(SUBSTITUTE(SUBSTITUTE(C231,".",""),",",""),";",""),":",""),"!",""),"?",""),"""",""),"'",""),"’",""),"“",""),"”",""))))</f>
        <v/>
      </c>
      <c r="N231" s="46">
        <f>IF($A231="","",SUBSTITUTE(SUBSTITUTE(LOWER(TRIM(SUBSTITUTE(SUBSTITUTE(SUBSTITUTE(SUBSTITUTE(SUBSTITUTE(SUBSTITUTE(SUBSTITUTE(SUBSTITUTE(SUBSTITUTE(SUBSTITUTE(SUBSTITUTE(D231,".",""),",",""),";",""),":",""),"!",""),"?",""),"""",""),"'",""),"’",""),"“",""),"”","")))," |","|"),"| ","|"))</f>
        <v/>
      </c>
      <c r="O231" s="46">
        <f>IF($A231="","",LOWER(TRIM(SUBSTITUTE(SUBSTITUTE(SUBSTITUTE(SUBSTITUTE(SUBSTITUTE(SUBSTITUTE(SUBSTITUTE(SUBSTITUTE(SUBSTITUTE(SUBSTITUTE(SUBSTITUTE(E231,".",""),",",""),";",""),":",""),"!",""),"?",""),"""",""),"'",""),"’",""),"“",""),"”",""))))</f>
        <v/>
      </c>
      <c r="P231" s="46">
        <f>IF($A231="","",LOWER(TRIM(SUBSTITUTE(SUBSTITUTE(SUBSTITUTE(SUBSTITUTE(SUBSTITUTE(SUBSTITUTE(SUBSTITUTE(SUBSTITUTE(SUBSTITUTE(SUBSTITUTE(SUBSTITUTE(F231,".",""),",",""),";",""),":",""),"!",""),"?",""),"""",""),"'",""),"’",""),"“",""),"”",""))))</f>
        <v/>
      </c>
      <c r="Q231" s="46">
        <f>IF($A231="","",LOWER(TRIM(SUBSTITUTE(SUBSTITUTE(SUBSTITUTE(SUBSTITUTE(SUBSTITUTE(SUBSTITUTE(SUBSTITUTE(SUBSTITUTE(SUBSTITUTE(SUBSTITUTE(SUBSTITUTE(G231,".",""),",",""),";",""),":",""),"!",""),"?",""),"""",""),"'",""),"’",""),"“",""),"”",""))))</f>
        <v/>
      </c>
      <c r="R231" s="46">
        <f>IF($A231="","",LEN(O231))</f>
        <v/>
      </c>
      <c r="S231" s="46">
        <f>IF($A231="","",IF(O231="",0,LEN(O231)-LEN(SUBSTITUTE(O231," ",""))+1))</f>
        <v/>
      </c>
      <c r="T231" s="46">
        <f>IF($A231="","",IF(AND(O231&lt;&gt;"",OR(O231=M231,AND(N231&lt;&gt;"",ISNUMBER(FIND("|"&amp;O231&amp;"|","|"&amp;N231&amp;"|"))))),1,0))</f>
        <v/>
      </c>
      <c r="U231" s="46">
        <f>IF($A231="","",IF(AND(Q231&lt;&gt;"",OR(Q231=M231,AND(N231&lt;&gt;"",ISNUMBER(FIND("|"&amp;Q231&amp;"|","|"&amp;N231&amp;"|"))))),1,0))</f>
        <v/>
      </c>
      <c r="V231" s="46">
        <f>IF($A231="","",IF(P231=O231,1,0))</f>
        <v/>
      </c>
      <c r="W231" s="46">
        <f>IF($A231="","",IF(Q231=O231,1,0))</f>
        <v/>
      </c>
      <c r="X231" s="46">
        <f>IF(OR($A231="",$H231=""),"",IF(AND($H231=1,T231=1),"TA",IF(AND($H231=0,T231=1),"FA",IF($H231=1,"FR","TR"))))</f>
        <v/>
      </c>
      <c r="Y231" s="46">
        <f>IF(OR($A231="",$H231=""),"",IF(AND($H231=1,U231=1),"TA",IF(AND($H231=0,U231=1),"FA",IF($H231=1,"FR","TR"))))</f>
        <v/>
      </c>
    </row>
    <row r="232">
      <c r="A232" s="54" t="n"/>
      <c r="B232" s="54" t="n"/>
      <c r="C232" s="54" t="n"/>
      <c r="D232" s="54" t="n"/>
      <c r="E232" s="54" t="n"/>
      <c r="F232" s="54" t="n"/>
      <c r="G232" s="54" t="n"/>
      <c r="H232" s="54" t="n"/>
      <c r="I232" s="54" t="n"/>
      <c r="J232" s="54" t="n"/>
      <c r="K232" s="54" t="n"/>
      <c r="L232" s="54" t="n"/>
      <c r="M232" s="46">
        <f>IF($A232="","",LOWER(TRIM(SUBSTITUTE(SUBSTITUTE(SUBSTITUTE(SUBSTITUTE(SUBSTITUTE(SUBSTITUTE(SUBSTITUTE(SUBSTITUTE(SUBSTITUTE(SUBSTITUTE(SUBSTITUTE(C232,".",""),",",""),";",""),":",""),"!",""),"?",""),"""",""),"'",""),"’",""),"“",""),"”",""))))</f>
        <v/>
      </c>
      <c r="N232" s="46">
        <f>IF($A232="","",SUBSTITUTE(SUBSTITUTE(LOWER(TRIM(SUBSTITUTE(SUBSTITUTE(SUBSTITUTE(SUBSTITUTE(SUBSTITUTE(SUBSTITUTE(SUBSTITUTE(SUBSTITUTE(SUBSTITUTE(SUBSTITUTE(SUBSTITUTE(D232,".",""),",",""),";",""),":",""),"!",""),"?",""),"""",""),"'",""),"’",""),"“",""),"”","")))," |","|"),"| ","|"))</f>
        <v/>
      </c>
      <c r="O232" s="46">
        <f>IF($A232="","",LOWER(TRIM(SUBSTITUTE(SUBSTITUTE(SUBSTITUTE(SUBSTITUTE(SUBSTITUTE(SUBSTITUTE(SUBSTITUTE(SUBSTITUTE(SUBSTITUTE(SUBSTITUTE(SUBSTITUTE(E232,".",""),",",""),";",""),":",""),"!",""),"?",""),"""",""),"'",""),"’",""),"“",""),"”",""))))</f>
        <v/>
      </c>
      <c r="P232" s="46">
        <f>IF($A232="","",LOWER(TRIM(SUBSTITUTE(SUBSTITUTE(SUBSTITUTE(SUBSTITUTE(SUBSTITUTE(SUBSTITUTE(SUBSTITUTE(SUBSTITUTE(SUBSTITUTE(SUBSTITUTE(SUBSTITUTE(F232,".",""),",",""),";",""),":",""),"!",""),"?",""),"""",""),"'",""),"’",""),"“",""),"”",""))))</f>
        <v/>
      </c>
      <c r="Q232" s="46">
        <f>IF($A232="","",LOWER(TRIM(SUBSTITUTE(SUBSTITUTE(SUBSTITUTE(SUBSTITUTE(SUBSTITUTE(SUBSTITUTE(SUBSTITUTE(SUBSTITUTE(SUBSTITUTE(SUBSTITUTE(SUBSTITUTE(G232,".",""),",",""),";",""),":",""),"!",""),"?",""),"""",""),"'",""),"’",""),"“",""),"”",""))))</f>
        <v/>
      </c>
      <c r="R232" s="46">
        <f>IF($A232="","",LEN(O232))</f>
        <v/>
      </c>
      <c r="S232" s="46">
        <f>IF($A232="","",IF(O232="",0,LEN(O232)-LEN(SUBSTITUTE(O232," ",""))+1))</f>
        <v/>
      </c>
      <c r="T232" s="46">
        <f>IF($A232="","",IF(AND(O232&lt;&gt;"",OR(O232=M232,AND(N232&lt;&gt;"",ISNUMBER(FIND("|"&amp;O232&amp;"|","|"&amp;N232&amp;"|"))))),1,0))</f>
        <v/>
      </c>
      <c r="U232" s="46">
        <f>IF($A232="","",IF(AND(Q232&lt;&gt;"",OR(Q232=M232,AND(N232&lt;&gt;"",ISNUMBER(FIND("|"&amp;Q232&amp;"|","|"&amp;N232&amp;"|"))))),1,0))</f>
        <v/>
      </c>
      <c r="V232" s="46">
        <f>IF($A232="","",IF(P232=O232,1,0))</f>
        <v/>
      </c>
      <c r="W232" s="46">
        <f>IF($A232="","",IF(Q232=O232,1,0))</f>
        <v/>
      </c>
      <c r="X232" s="46">
        <f>IF(OR($A232="",$H232=""),"",IF(AND($H232=1,T232=1),"TA",IF(AND($H232=0,T232=1),"FA",IF($H232=1,"FR","TR"))))</f>
        <v/>
      </c>
      <c r="Y232" s="46">
        <f>IF(OR($A232="",$H232=""),"",IF(AND($H232=1,U232=1),"TA",IF(AND($H232=0,U232=1),"FA",IF($H232=1,"FR","TR"))))</f>
        <v/>
      </c>
    </row>
    <row r="233">
      <c r="A233" s="54" t="n"/>
      <c r="B233" s="54" t="n"/>
      <c r="C233" s="54" t="n"/>
      <c r="D233" s="54" t="n"/>
      <c r="E233" s="54" t="n"/>
      <c r="F233" s="54" t="n"/>
      <c r="G233" s="54" t="n"/>
      <c r="H233" s="54" t="n"/>
      <c r="I233" s="54" t="n"/>
      <c r="J233" s="54" t="n"/>
      <c r="K233" s="54" t="n"/>
      <c r="L233" s="54" t="n"/>
      <c r="M233" s="46">
        <f>IF($A233="","",LOWER(TRIM(SUBSTITUTE(SUBSTITUTE(SUBSTITUTE(SUBSTITUTE(SUBSTITUTE(SUBSTITUTE(SUBSTITUTE(SUBSTITUTE(SUBSTITUTE(SUBSTITUTE(SUBSTITUTE(C233,".",""),",",""),";",""),":",""),"!",""),"?",""),"""",""),"'",""),"’",""),"“",""),"”",""))))</f>
        <v/>
      </c>
      <c r="N233" s="46">
        <f>IF($A233="","",SUBSTITUTE(SUBSTITUTE(LOWER(TRIM(SUBSTITUTE(SUBSTITUTE(SUBSTITUTE(SUBSTITUTE(SUBSTITUTE(SUBSTITUTE(SUBSTITUTE(SUBSTITUTE(SUBSTITUTE(SUBSTITUTE(SUBSTITUTE(D233,".",""),",",""),";",""),":",""),"!",""),"?",""),"""",""),"'",""),"’",""),"“",""),"”","")))," |","|"),"| ","|"))</f>
        <v/>
      </c>
      <c r="O233" s="46">
        <f>IF($A233="","",LOWER(TRIM(SUBSTITUTE(SUBSTITUTE(SUBSTITUTE(SUBSTITUTE(SUBSTITUTE(SUBSTITUTE(SUBSTITUTE(SUBSTITUTE(SUBSTITUTE(SUBSTITUTE(SUBSTITUTE(E233,".",""),",",""),";",""),":",""),"!",""),"?",""),"""",""),"'",""),"’",""),"“",""),"”",""))))</f>
        <v/>
      </c>
      <c r="P233" s="46">
        <f>IF($A233="","",LOWER(TRIM(SUBSTITUTE(SUBSTITUTE(SUBSTITUTE(SUBSTITUTE(SUBSTITUTE(SUBSTITUTE(SUBSTITUTE(SUBSTITUTE(SUBSTITUTE(SUBSTITUTE(SUBSTITUTE(F233,".",""),",",""),";",""),":",""),"!",""),"?",""),"""",""),"'",""),"’",""),"“",""),"”",""))))</f>
        <v/>
      </c>
      <c r="Q233" s="46">
        <f>IF($A233="","",LOWER(TRIM(SUBSTITUTE(SUBSTITUTE(SUBSTITUTE(SUBSTITUTE(SUBSTITUTE(SUBSTITUTE(SUBSTITUTE(SUBSTITUTE(SUBSTITUTE(SUBSTITUTE(SUBSTITUTE(G233,".",""),",",""),";",""),":",""),"!",""),"?",""),"""",""),"'",""),"’",""),"“",""),"”",""))))</f>
        <v/>
      </c>
      <c r="R233" s="46">
        <f>IF($A233="","",LEN(O233))</f>
        <v/>
      </c>
      <c r="S233" s="46">
        <f>IF($A233="","",IF(O233="",0,LEN(O233)-LEN(SUBSTITUTE(O233," ",""))+1))</f>
        <v/>
      </c>
      <c r="T233" s="46">
        <f>IF($A233="","",IF(AND(O233&lt;&gt;"",OR(O233=M233,AND(N233&lt;&gt;"",ISNUMBER(FIND("|"&amp;O233&amp;"|","|"&amp;N233&amp;"|"))))),1,0))</f>
        <v/>
      </c>
      <c r="U233" s="46">
        <f>IF($A233="","",IF(AND(Q233&lt;&gt;"",OR(Q233=M233,AND(N233&lt;&gt;"",ISNUMBER(FIND("|"&amp;Q233&amp;"|","|"&amp;N233&amp;"|"))))),1,0))</f>
        <v/>
      </c>
      <c r="V233" s="46">
        <f>IF($A233="","",IF(P233=O233,1,0))</f>
        <v/>
      </c>
      <c r="W233" s="46">
        <f>IF($A233="","",IF(Q233=O233,1,0))</f>
        <v/>
      </c>
      <c r="X233" s="46">
        <f>IF(OR($A233="",$H233=""),"",IF(AND($H233=1,T233=1),"TA",IF(AND($H233=0,T233=1),"FA",IF($H233=1,"FR","TR"))))</f>
        <v/>
      </c>
      <c r="Y233" s="46">
        <f>IF(OR($A233="",$H233=""),"",IF(AND($H233=1,U233=1),"TA",IF(AND($H233=0,U233=1),"FA",IF($H233=1,"FR","TR"))))</f>
        <v/>
      </c>
    </row>
    <row r="234">
      <c r="A234" s="54" t="n"/>
      <c r="B234" s="54" t="n"/>
      <c r="C234" s="54" t="n"/>
      <c r="D234" s="54" t="n"/>
      <c r="E234" s="54" t="n"/>
      <c r="F234" s="54" t="n"/>
      <c r="G234" s="54" t="n"/>
      <c r="H234" s="54" t="n"/>
      <c r="I234" s="54" t="n"/>
      <c r="J234" s="54" t="n"/>
      <c r="K234" s="54" t="n"/>
      <c r="L234" s="54" t="n"/>
      <c r="M234" s="46">
        <f>IF($A234="","",LOWER(TRIM(SUBSTITUTE(SUBSTITUTE(SUBSTITUTE(SUBSTITUTE(SUBSTITUTE(SUBSTITUTE(SUBSTITUTE(SUBSTITUTE(SUBSTITUTE(SUBSTITUTE(SUBSTITUTE(C234,".",""),",",""),";",""),":",""),"!",""),"?",""),"""",""),"'",""),"’",""),"“",""),"”",""))))</f>
        <v/>
      </c>
      <c r="N234" s="46">
        <f>IF($A234="","",SUBSTITUTE(SUBSTITUTE(LOWER(TRIM(SUBSTITUTE(SUBSTITUTE(SUBSTITUTE(SUBSTITUTE(SUBSTITUTE(SUBSTITUTE(SUBSTITUTE(SUBSTITUTE(SUBSTITUTE(SUBSTITUTE(SUBSTITUTE(D234,".",""),",",""),";",""),":",""),"!",""),"?",""),"""",""),"'",""),"’",""),"“",""),"”","")))," |","|"),"| ","|"))</f>
        <v/>
      </c>
      <c r="O234" s="46">
        <f>IF($A234="","",LOWER(TRIM(SUBSTITUTE(SUBSTITUTE(SUBSTITUTE(SUBSTITUTE(SUBSTITUTE(SUBSTITUTE(SUBSTITUTE(SUBSTITUTE(SUBSTITUTE(SUBSTITUTE(SUBSTITUTE(E234,".",""),",",""),";",""),":",""),"!",""),"?",""),"""",""),"'",""),"’",""),"“",""),"”",""))))</f>
        <v/>
      </c>
      <c r="P234" s="46">
        <f>IF($A234="","",LOWER(TRIM(SUBSTITUTE(SUBSTITUTE(SUBSTITUTE(SUBSTITUTE(SUBSTITUTE(SUBSTITUTE(SUBSTITUTE(SUBSTITUTE(SUBSTITUTE(SUBSTITUTE(SUBSTITUTE(F234,".",""),",",""),";",""),":",""),"!",""),"?",""),"""",""),"'",""),"’",""),"“",""),"”",""))))</f>
        <v/>
      </c>
      <c r="Q234" s="46">
        <f>IF($A234="","",LOWER(TRIM(SUBSTITUTE(SUBSTITUTE(SUBSTITUTE(SUBSTITUTE(SUBSTITUTE(SUBSTITUTE(SUBSTITUTE(SUBSTITUTE(SUBSTITUTE(SUBSTITUTE(SUBSTITUTE(G234,".",""),",",""),";",""),":",""),"!",""),"?",""),"""",""),"'",""),"’",""),"“",""),"”",""))))</f>
        <v/>
      </c>
      <c r="R234" s="46">
        <f>IF($A234="","",LEN(O234))</f>
        <v/>
      </c>
      <c r="S234" s="46">
        <f>IF($A234="","",IF(O234="",0,LEN(O234)-LEN(SUBSTITUTE(O234," ",""))+1))</f>
        <v/>
      </c>
      <c r="T234" s="46">
        <f>IF($A234="","",IF(AND(O234&lt;&gt;"",OR(O234=M234,AND(N234&lt;&gt;"",ISNUMBER(FIND("|"&amp;O234&amp;"|","|"&amp;N234&amp;"|"))))),1,0))</f>
        <v/>
      </c>
      <c r="U234" s="46">
        <f>IF($A234="","",IF(AND(Q234&lt;&gt;"",OR(Q234=M234,AND(N234&lt;&gt;"",ISNUMBER(FIND("|"&amp;Q234&amp;"|","|"&amp;N234&amp;"|"))))),1,0))</f>
        <v/>
      </c>
      <c r="V234" s="46">
        <f>IF($A234="","",IF(P234=O234,1,0))</f>
        <v/>
      </c>
      <c r="W234" s="46">
        <f>IF($A234="","",IF(Q234=O234,1,0))</f>
        <v/>
      </c>
      <c r="X234" s="46">
        <f>IF(OR($A234="",$H234=""),"",IF(AND($H234=1,T234=1),"TA",IF(AND($H234=0,T234=1),"FA",IF($H234=1,"FR","TR"))))</f>
        <v/>
      </c>
      <c r="Y234" s="46">
        <f>IF(OR($A234="",$H234=""),"",IF(AND($H234=1,U234=1),"TA",IF(AND($H234=0,U234=1),"FA",IF($H234=1,"FR","TR"))))</f>
        <v/>
      </c>
    </row>
    <row r="235">
      <c r="A235" s="54" t="n"/>
      <c r="B235" s="54" t="n"/>
      <c r="C235" s="54" t="n"/>
      <c r="D235" s="54" t="n"/>
      <c r="E235" s="54" t="n"/>
      <c r="F235" s="54" t="n"/>
      <c r="G235" s="54" t="n"/>
      <c r="H235" s="54" t="n"/>
      <c r="I235" s="54" t="n"/>
      <c r="J235" s="54" t="n"/>
      <c r="K235" s="54" t="n"/>
      <c r="L235" s="54" t="n"/>
      <c r="M235" s="46">
        <f>IF($A235="","",LOWER(TRIM(SUBSTITUTE(SUBSTITUTE(SUBSTITUTE(SUBSTITUTE(SUBSTITUTE(SUBSTITUTE(SUBSTITUTE(SUBSTITUTE(SUBSTITUTE(SUBSTITUTE(SUBSTITUTE(C235,".",""),",",""),";",""),":",""),"!",""),"?",""),"""",""),"'",""),"’",""),"“",""),"”",""))))</f>
        <v/>
      </c>
      <c r="N235" s="46">
        <f>IF($A235="","",SUBSTITUTE(SUBSTITUTE(LOWER(TRIM(SUBSTITUTE(SUBSTITUTE(SUBSTITUTE(SUBSTITUTE(SUBSTITUTE(SUBSTITUTE(SUBSTITUTE(SUBSTITUTE(SUBSTITUTE(SUBSTITUTE(SUBSTITUTE(D235,".",""),",",""),";",""),":",""),"!",""),"?",""),"""",""),"'",""),"’",""),"“",""),"”","")))," |","|"),"| ","|"))</f>
        <v/>
      </c>
      <c r="O235" s="46">
        <f>IF($A235="","",LOWER(TRIM(SUBSTITUTE(SUBSTITUTE(SUBSTITUTE(SUBSTITUTE(SUBSTITUTE(SUBSTITUTE(SUBSTITUTE(SUBSTITUTE(SUBSTITUTE(SUBSTITUTE(SUBSTITUTE(E235,".",""),",",""),";",""),":",""),"!",""),"?",""),"""",""),"'",""),"’",""),"“",""),"”",""))))</f>
        <v/>
      </c>
      <c r="P235" s="46">
        <f>IF($A235="","",LOWER(TRIM(SUBSTITUTE(SUBSTITUTE(SUBSTITUTE(SUBSTITUTE(SUBSTITUTE(SUBSTITUTE(SUBSTITUTE(SUBSTITUTE(SUBSTITUTE(SUBSTITUTE(SUBSTITUTE(F235,".",""),",",""),";",""),":",""),"!",""),"?",""),"""",""),"'",""),"’",""),"“",""),"”",""))))</f>
        <v/>
      </c>
      <c r="Q235" s="46">
        <f>IF($A235="","",LOWER(TRIM(SUBSTITUTE(SUBSTITUTE(SUBSTITUTE(SUBSTITUTE(SUBSTITUTE(SUBSTITUTE(SUBSTITUTE(SUBSTITUTE(SUBSTITUTE(SUBSTITUTE(SUBSTITUTE(G235,".",""),",",""),";",""),":",""),"!",""),"?",""),"""",""),"'",""),"’",""),"“",""),"”",""))))</f>
        <v/>
      </c>
      <c r="R235" s="46">
        <f>IF($A235="","",LEN(O235))</f>
        <v/>
      </c>
      <c r="S235" s="46">
        <f>IF($A235="","",IF(O235="",0,LEN(O235)-LEN(SUBSTITUTE(O235," ",""))+1))</f>
        <v/>
      </c>
      <c r="T235" s="46">
        <f>IF($A235="","",IF(AND(O235&lt;&gt;"",OR(O235=M235,AND(N235&lt;&gt;"",ISNUMBER(FIND("|"&amp;O235&amp;"|","|"&amp;N235&amp;"|"))))),1,0))</f>
        <v/>
      </c>
      <c r="U235" s="46">
        <f>IF($A235="","",IF(AND(Q235&lt;&gt;"",OR(Q235=M235,AND(N235&lt;&gt;"",ISNUMBER(FIND("|"&amp;Q235&amp;"|","|"&amp;N235&amp;"|"))))),1,0))</f>
        <v/>
      </c>
      <c r="V235" s="46">
        <f>IF($A235="","",IF(P235=O235,1,0))</f>
        <v/>
      </c>
      <c r="W235" s="46">
        <f>IF($A235="","",IF(Q235=O235,1,0))</f>
        <v/>
      </c>
      <c r="X235" s="46">
        <f>IF(OR($A235="",$H235=""),"",IF(AND($H235=1,T235=1),"TA",IF(AND($H235=0,T235=1),"FA",IF($H235=1,"FR","TR"))))</f>
        <v/>
      </c>
      <c r="Y235" s="46">
        <f>IF(OR($A235="",$H235=""),"",IF(AND($H235=1,U235=1),"TA",IF(AND($H235=0,U235=1),"FA",IF($H235=1,"FR","TR"))))</f>
        <v/>
      </c>
    </row>
    <row r="236">
      <c r="A236" s="54" t="n"/>
      <c r="B236" s="54" t="n"/>
      <c r="C236" s="54" t="n"/>
      <c r="D236" s="54" t="n"/>
      <c r="E236" s="54" t="n"/>
      <c r="F236" s="54" t="n"/>
      <c r="G236" s="54" t="n"/>
      <c r="H236" s="54" t="n"/>
      <c r="I236" s="54" t="n"/>
      <c r="J236" s="54" t="n"/>
      <c r="K236" s="54" t="n"/>
      <c r="L236" s="54" t="n"/>
      <c r="M236" s="46">
        <f>IF($A236="","",LOWER(TRIM(SUBSTITUTE(SUBSTITUTE(SUBSTITUTE(SUBSTITUTE(SUBSTITUTE(SUBSTITUTE(SUBSTITUTE(SUBSTITUTE(SUBSTITUTE(SUBSTITUTE(SUBSTITUTE(C236,".",""),",",""),";",""),":",""),"!",""),"?",""),"""",""),"'",""),"’",""),"“",""),"”",""))))</f>
        <v/>
      </c>
      <c r="N236" s="46">
        <f>IF($A236="","",SUBSTITUTE(SUBSTITUTE(LOWER(TRIM(SUBSTITUTE(SUBSTITUTE(SUBSTITUTE(SUBSTITUTE(SUBSTITUTE(SUBSTITUTE(SUBSTITUTE(SUBSTITUTE(SUBSTITUTE(SUBSTITUTE(SUBSTITUTE(D236,".",""),",",""),";",""),":",""),"!",""),"?",""),"""",""),"'",""),"’",""),"“",""),"”","")))," |","|"),"| ","|"))</f>
        <v/>
      </c>
      <c r="O236" s="46">
        <f>IF($A236="","",LOWER(TRIM(SUBSTITUTE(SUBSTITUTE(SUBSTITUTE(SUBSTITUTE(SUBSTITUTE(SUBSTITUTE(SUBSTITUTE(SUBSTITUTE(SUBSTITUTE(SUBSTITUTE(SUBSTITUTE(E236,".",""),",",""),";",""),":",""),"!",""),"?",""),"""",""),"'",""),"’",""),"“",""),"”",""))))</f>
        <v/>
      </c>
      <c r="P236" s="46">
        <f>IF($A236="","",LOWER(TRIM(SUBSTITUTE(SUBSTITUTE(SUBSTITUTE(SUBSTITUTE(SUBSTITUTE(SUBSTITUTE(SUBSTITUTE(SUBSTITUTE(SUBSTITUTE(SUBSTITUTE(SUBSTITUTE(F236,".",""),",",""),";",""),":",""),"!",""),"?",""),"""",""),"'",""),"’",""),"“",""),"”",""))))</f>
        <v/>
      </c>
      <c r="Q236" s="46">
        <f>IF($A236="","",LOWER(TRIM(SUBSTITUTE(SUBSTITUTE(SUBSTITUTE(SUBSTITUTE(SUBSTITUTE(SUBSTITUTE(SUBSTITUTE(SUBSTITUTE(SUBSTITUTE(SUBSTITUTE(SUBSTITUTE(G236,".",""),",",""),";",""),":",""),"!",""),"?",""),"""",""),"'",""),"’",""),"“",""),"”",""))))</f>
        <v/>
      </c>
      <c r="R236" s="46">
        <f>IF($A236="","",LEN(O236))</f>
        <v/>
      </c>
      <c r="S236" s="46">
        <f>IF($A236="","",IF(O236="",0,LEN(O236)-LEN(SUBSTITUTE(O236," ",""))+1))</f>
        <v/>
      </c>
      <c r="T236" s="46">
        <f>IF($A236="","",IF(AND(O236&lt;&gt;"",OR(O236=M236,AND(N236&lt;&gt;"",ISNUMBER(FIND("|"&amp;O236&amp;"|","|"&amp;N236&amp;"|"))))),1,0))</f>
        <v/>
      </c>
      <c r="U236" s="46">
        <f>IF($A236="","",IF(AND(Q236&lt;&gt;"",OR(Q236=M236,AND(N236&lt;&gt;"",ISNUMBER(FIND("|"&amp;Q236&amp;"|","|"&amp;N236&amp;"|"))))),1,0))</f>
        <v/>
      </c>
      <c r="V236" s="46">
        <f>IF($A236="","",IF(P236=O236,1,0))</f>
        <v/>
      </c>
      <c r="W236" s="46">
        <f>IF($A236="","",IF(Q236=O236,1,0))</f>
        <v/>
      </c>
      <c r="X236" s="46">
        <f>IF(OR($A236="",$H236=""),"",IF(AND($H236=1,T236=1),"TA",IF(AND($H236=0,T236=1),"FA",IF($H236=1,"FR","TR"))))</f>
        <v/>
      </c>
      <c r="Y236" s="46">
        <f>IF(OR($A236="",$H236=""),"",IF(AND($H236=1,U236=1),"TA",IF(AND($H236=0,U236=1),"FA",IF($H236=1,"FR","TR"))))</f>
        <v/>
      </c>
    </row>
    <row r="237">
      <c r="A237" s="54" t="n"/>
      <c r="B237" s="54" t="n"/>
      <c r="C237" s="54" t="n"/>
      <c r="D237" s="54" t="n"/>
      <c r="E237" s="54" t="n"/>
      <c r="F237" s="54" t="n"/>
      <c r="G237" s="54" t="n"/>
      <c r="H237" s="54" t="n"/>
      <c r="I237" s="54" t="n"/>
      <c r="J237" s="54" t="n"/>
      <c r="K237" s="54" t="n"/>
      <c r="L237" s="54" t="n"/>
      <c r="M237" s="46">
        <f>IF($A237="","",LOWER(TRIM(SUBSTITUTE(SUBSTITUTE(SUBSTITUTE(SUBSTITUTE(SUBSTITUTE(SUBSTITUTE(SUBSTITUTE(SUBSTITUTE(SUBSTITUTE(SUBSTITUTE(SUBSTITUTE(C237,".",""),",",""),";",""),":",""),"!",""),"?",""),"""",""),"'",""),"’",""),"“",""),"”",""))))</f>
        <v/>
      </c>
      <c r="N237" s="46">
        <f>IF($A237="","",SUBSTITUTE(SUBSTITUTE(LOWER(TRIM(SUBSTITUTE(SUBSTITUTE(SUBSTITUTE(SUBSTITUTE(SUBSTITUTE(SUBSTITUTE(SUBSTITUTE(SUBSTITUTE(SUBSTITUTE(SUBSTITUTE(SUBSTITUTE(D237,".",""),",",""),";",""),":",""),"!",""),"?",""),"""",""),"'",""),"’",""),"“",""),"”","")))," |","|"),"| ","|"))</f>
        <v/>
      </c>
      <c r="O237" s="46">
        <f>IF($A237="","",LOWER(TRIM(SUBSTITUTE(SUBSTITUTE(SUBSTITUTE(SUBSTITUTE(SUBSTITUTE(SUBSTITUTE(SUBSTITUTE(SUBSTITUTE(SUBSTITUTE(SUBSTITUTE(SUBSTITUTE(E237,".",""),",",""),";",""),":",""),"!",""),"?",""),"""",""),"'",""),"’",""),"“",""),"”",""))))</f>
        <v/>
      </c>
      <c r="P237" s="46">
        <f>IF($A237="","",LOWER(TRIM(SUBSTITUTE(SUBSTITUTE(SUBSTITUTE(SUBSTITUTE(SUBSTITUTE(SUBSTITUTE(SUBSTITUTE(SUBSTITUTE(SUBSTITUTE(SUBSTITUTE(SUBSTITUTE(F237,".",""),",",""),";",""),":",""),"!",""),"?",""),"""",""),"'",""),"’",""),"“",""),"”",""))))</f>
        <v/>
      </c>
      <c r="Q237" s="46">
        <f>IF($A237="","",LOWER(TRIM(SUBSTITUTE(SUBSTITUTE(SUBSTITUTE(SUBSTITUTE(SUBSTITUTE(SUBSTITUTE(SUBSTITUTE(SUBSTITUTE(SUBSTITUTE(SUBSTITUTE(SUBSTITUTE(G237,".",""),",",""),";",""),":",""),"!",""),"?",""),"""",""),"'",""),"’",""),"“",""),"”",""))))</f>
        <v/>
      </c>
      <c r="R237" s="46">
        <f>IF($A237="","",LEN(O237))</f>
        <v/>
      </c>
      <c r="S237" s="46">
        <f>IF($A237="","",IF(O237="",0,LEN(O237)-LEN(SUBSTITUTE(O237," ",""))+1))</f>
        <v/>
      </c>
      <c r="T237" s="46">
        <f>IF($A237="","",IF(AND(O237&lt;&gt;"",OR(O237=M237,AND(N237&lt;&gt;"",ISNUMBER(FIND("|"&amp;O237&amp;"|","|"&amp;N237&amp;"|"))))),1,0))</f>
        <v/>
      </c>
      <c r="U237" s="46">
        <f>IF($A237="","",IF(AND(Q237&lt;&gt;"",OR(Q237=M237,AND(N237&lt;&gt;"",ISNUMBER(FIND("|"&amp;Q237&amp;"|","|"&amp;N237&amp;"|"))))),1,0))</f>
        <v/>
      </c>
      <c r="V237" s="46">
        <f>IF($A237="","",IF(P237=O237,1,0))</f>
        <v/>
      </c>
      <c r="W237" s="46">
        <f>IF($A237="","",IF(Q237=O237,1,0))</f>
        <v/>
      </c>
      <c r="X237" s="46">
        <f>IF(OR($A237="",$H237=""),"",IF(AND($H237=1,T237=1),"TA",IF(AND($H237=0,T237=1),"FA",IF($H237=1,"FR","TR"))))</f>
        <v/>
      </c>
      <c r="Y237" s="46">
        <f>IF(OR($A237="",$H237=""),"",IF(AND($H237=1,U237=1),"TA",IF(AND($H237=0,U237=1),"FA",IF($H237=1,"FR","TR"))))</f>
        <v/>
      </c>
    </row>
    <row r="238">
      <c r="A238" s="54" t="n"/>
      <c r="B238" s="54" t="n"/>
      <c r="C238" s="54" t="n"/>
      <c r="D238" s="54" t="n"/>
      <c r="E238" s="54" t="n"/>
      <c r="F238" s="54" t="n"/>
      <c r="G238" s="54" t="n"/>
      <c r="H238" s="54" t="n"/>
      <c r="I238" s="54" t="n"/>
      <c r="J238" s="54" t="n"/>
      <c r="K238" s="54" t="n"/>
      <c r="L238" s="54" t="n"/>
      <c r="M238" s="46">
        <f>IF($A238="","",LOWER(TRIM(SUBSTITUTE(SUBSTITUTE(SUBSTITUTE(SUBSTITUTE(SUBSTITUTE(SUBSTITUTE(SUBSTITUTE(SUBSTITUTE(SUBSTITUTE(SUBSTITUTE(SUBSTITUTE(C238,".",""),",",""),";",""),":",""),"!",""),"?",""),"""",""),"'",""),"’",""),"“",""),"”",""))))</f>
        <v/>
      </c>
      <c r="N238" s="46">
        <f>IF($A238="","",SUBSTITUTE(SUBSTITUTE(LOWER(TRIM(SUBSTITUTE(SUBSTITUTE(SUBSTITUTE(SUBSTITUTE(SUBSTITUTE(SUBSTITUTE(SUBSTITUTE(SUBSTITUTE(SUBSTITUTE(SUBSTITUTE(SUBSTITUTE(D238,".",""),",",""),";",""),":",""),"!",""),"?",""),"""",""),"'",""),"’",""),"“",""),"”","")))," |","|"),"| ","|"))</f>
        <v/>
      </c>
      <c r="O238" s="46">
        <f>IF($A238="","",LOWER(TRIM(SUBSTITUTE(SUBSTITUTE(SUBSTITUTE(SUBSTITUTE(SUBSTITUTE(SUBSTITUTE(SUBSTITUTE(SUBSTITUTE(SUBSTITUTE(SUBSTITUTE(SUBSTITUTE(E238,".",""),",",""),";",""),":",""),"!",""),"?",""),"""",""),"'",""),"’",""),"“",""),"”",""))))</f>
        <v/>
      </c>
      <c r="P238" s="46">
        <f>IF($A238="","",LOWER(TRIM(SUBSTITUTE(SUBSTITUTE(SUBSTITUTE(SUBSTITUTE(SUBSTITUTE(SUBSTITUTE(SUBSTITUTE(SUBSTITUTE(SUBSTITUTE(SUBSTITUTE(SUBSTITUTE(F238,".",""),",",""),";",""),":",""),"!",""),"?",""),"""",""),"'",""),"’",""),"“",""),"”",""))))</f>
        <v/>
      </c>
      <c r="Q238" s="46">
        <f>IF($A238="","",LOWER(TRIM(SUBSTITUTE(SUBSTITUTE(SUBSTITUTE(SUBSTITUTE(SUBSTITUTE(SUBSTITUTE(SUBSTITUTE(SUBSTITUTE(SUBSTITUTE(SUBSTITUTE(SUBSTITUTE(G238,".",""),",",""),";",""),":",""),"!",""),"?",""),"""",""),"'",""),"’",""),"“",""),"”",""))))</f>
        <v/>
      </c>
      <c r="R238" s="46">
        <f>IF($A238="","",LEN(O238))</f>
        <v/>
      </c>
      <c r="S238" s="46">
        <f>IF($A238="","",IF(O238="",0,LEN(O238)-LEN(SUBSTITUTE(O238," ",""))+1))</f>
        <v/>
      </c>
      <c r="T238" s="46">
        <f>IF($A238="","",IF(AND(O238&lt;&gt;"",OR(O238=M238,AND(N238&lt;&gt;"",ISNUMBER(FIND("|"&amp;O238&amp;"|","|"&amp;N238&amp;"|"))))),1,0))</f>
        <v/>
      </c>
      <c r="U238" s="46">
        <f>IF($A238="","",IF(AND(Q238&lt;&gt;"",OR(Q238=M238,AND(N238&lt;&gt;"",ISNUMBER(FIND("|"&amp;Q238&amp;"|","|"&amp;N238&amp;"|"))))),1,0))</f>
        <v/>
      </c>
      <c r="V238" s="46">
        <f>IF($A238="","",IF(P238=O238,1,0))</f>
        <v/>
      </c>
      <c r="W238" s="46">
        <f>IF($A238="","",IF(Q238=O238,1,0))</f>
        <v/>
      </c>
      <c r="X238" s="46">
        <f>IF(OR($A238="",$H238=""),"",IF(AND($H238=1,T238=1),"TA",IF(AND($H238=0,T238=1),"FA",IF($H238=1,"FR","TR"))))</f>
        <v/>
      </c>
      <c r="Y238" s="46">
        <f>IF(OR($A238="",$H238=""),"",IF(AND($H238=1,U238=1),"TA",IF(AND($H238=0,U238=1),"FA",IF($H238=1,"FR","TR"))))</f>
        <v/>
      </c>
    </row>
    <row r="239">
      <c r="A239" s="54" t="n"/>
      <c r="B239" s="54" t="n"/>
      <c r="C239" s="54" t="n"/>
      <c r="D239" s="54" t="n"/>
      <c r="E239" s="54" t="n"/>
      <c r="F239" s="54" t="n"/>
      <c r="G239" s="54" t="n"/>
      <c r="H239" s="54" t="n"/>
      <c r="I239" s="54" t="n"/>
      <c r="J239" s="54" t="n"/>
      <c r="K239" s="54" t="n"/>
      <c r="L239" s="54" t="n"/>
      <c r="M239" s="46">
        <f>IF($A239="","",LOWER(TRIM(SUBSTITUTE(SUBSTITUTE(SUBSTITUTE(SUBSTITUTE(SUBSTITUTE(SUBSTITUTE(SUBSTITUTE(SUBSTITUTE(SUBSTITUTE(SUBSTITUTE(SUBSTITUTE(C239,".",""),",",""),";",""),":",""),"!",""),"?",""),"""",""),"'",""),"’",""),"“",""),"”",""))))</f>
        <v/>
      </c>
      <c r="N239" s="46">
        <f>IF($A239="","",SUBSTITUTE(SUBSTITUTE(LOWER(TRIM(SUBSTITUTE(SUBSTITUTE(SUBSTITUTE(SUBSTITUTE(SUBSTITUTE(SUBSTITUTE(SUBSTITUTE(SUBSTITUTE(SUBSTITUTE(SUBSTITUTE(SUBSTITUTE(D239,".",""),",",""),";",""),":",""),"!",""),"?",""),"""",""),"'",""),"’",""),"“",""),"”","")))," |","|"),"| ","|"))</f>
        <v/>
      </c>
      <c r="O239" s="46">
        <f>IF($A239="","",LOWER(TRIM(SUBSTITUTE(SUBSTITUTE(SUBSTITUTE(SUBSTITUTE(SUBSTITUTE(SUBSTITUTE(SUBSTITUTE(SUBSTITUTE(SUBSTITUTE(SUBSTITUTE(SUBSTITUTE(E239,".",""),",",""),";",""),":",""),"!",""),"?",""),"""",""),"'",""),"’",""),"“",""),"”",""))))</f>
        <v/>
      </c>
      <c r="P239" s="46">
        <f>IF($A239="","",LOWER(TRIM(SUBSTITUTE(SUBSTITUTE(SUBSTITUTE(SUBSTITUTE(SUBSTITUTE(SUBSTITUTE(SUBSTITUTE(SUBSTITUTE(SUBSTITUTE(SUBSTITUTE(SUBSTITUTE(F239,".",""),",",""),";",""),":",""),"!",""),"?",""),"""",""),"'",""),"’",""),"“",""),"”",""))))</f>
        <v/>
      </c>
      <c r="Q239" s="46">
        <f>IF($A239="","",LOWER(TRIM(SUBSTITUTE(SUBSTITUTE(SUBSTITUTE(SUBSTITUTE(SUBSTITUTE(SUBSTITUTE(SUBSTITUTE(SUBSTITUTE(SUBSTITUTE(SUBSTITUTE(SUBSTITUTE(G239,".",""),",",""),";",""),":",""),"!",""),"?",""),"""",""),"'",""),"’",""),"“",""),"”",""))))</f>
        <v/>
      </c>
      <c r="R239" s="46">
        <f>IF($A239="","",LEN(O239))</f>
        <v/>
      </c>
      <c r="S239" s="46">
        <f>IF($A239="","",IF(O239="",0,LEN(O239)-LEN(SUBSTITUTE(O239," ",""))+1))</f>
        <v/>
      </c>
      <c r="T239" s="46">
        <f>IF($A239="","",IF(AND(O239&lt;&gt;"",OR(O239=M239,AND(N239&lt;&gt;"",ISNUMBER(FIND("|"&amp;O239&amp;"|","|"&amp;N239&amp;"|"))))),1,0))</f>
        <v/>
      </c>
      <c r="U239" s="46">
        <f>IF($A239="","",IF(AND(Q239&lt;&gt;"",OR(Q239=M239,AND(N239&lt;&gt;"",ISNUMBER(FIND("|"&amp;Q239&amp;"|","|"&amp;N239&amp;"|"))))),1,0))</f>
        <v/>
      </c>
      <c r="V239" s="46">
        <f>IF($A239="","",IF(P239=O239,1,0))</f>
        <v/>
      </c>
      <c r="W239" s="46">
        <f>IF($A239="","",IF(Q239=O239,1,0))</f>
        <v/>
      </c>
      <c r="X239" s="46">
        <f>IF(OR($A239="",$H239=""),"",IF(AND($H239=1,T239=1),"TA",IF(AND($H239=0,T239=1),"FA",IF($H239=1,"FR","TR"))))</f>
        <v/>
      </c>
      <c r="Y239" s="46">
        <f>IF(OR($A239="",$H239=""),"",IF(AND($H239=1,U239=1),"TA",IF(AND($H239=0,U239=1),"FA",IF($H239=1,"FR","TR"))))</f>
        <v/>
      </c>
    </row>
    <row r="240">
      <c r="A240" s="54" t="n"/>
      <c r="B240" s="54" t="n"/>
      <c r="C240" s="54" t="n"/>
      <c r="D240" s="54" t="n"/>
      <c r="E240" s="54" t="n"/>
      <c r="F240" s="54" t="n"/>
      <c r="G240" s="54" t="n"/>
      <c r="H240" s="54" t="n"/>
      <c r="I240" s="54" t="n"/>
      <c r="J240" s="54" t="n"/>
      <c r="K240" s="54" t="n"/>
      <c r="L240" s="54" t="n"/>
      <c r="M240" s="46">
        <f>IF($A240="","",LOWER(TRIM(SUBSTITUTE(SUBSTITUTE(SUBSTITUTE(SUBSTITUTE(SUBSTITUTE(SUBSTITUTE(SUBSTITUTE(SUBSTITUTE(SUBSTITUTE(SUBSTITUTE(SUBSTITUTE(C240,".",""),",",""),";",""),":",""),"!",""),"?",""),"""",""),"'",""),"’",""),"“",""),"”",""))))</f>
        <v/>
      </c>
      <c r="N240" s="46">
        <f>IF($A240="","",SUBSTITUTE(SUBSTITUTE(LOWER(TRIM(SUBSTITUTE(SUBSTITUTE(SUBSTITUTE(SUBSTITUTE(SUBSTITUTE(SUBSTITUTE(SUBSTITUTE(SUBSTITUTE(SUBSTITUTE(SUBSTITUTE(SUBSTITUTE(D240,".",""),",",""),";",""),":",""),"!",""),"?",""),"""",""),"'",""),"’",""),"“",""),"”","")))," |","|"),"| ","|"))</f>
        <v/>
      </c>
      <c r="O240" s="46">
        <f>IF($A240="","",LOWER(TRIM(SUBSTITUTE(SUBSTITUTE(SUBSTITUTE(SUBSTITUTE(SUBSTITUTE(SUBSTITUTE(SUBSTITUTE(SUBSTITUTE(SUBSTITUTE(SUBSTITUTE(SUBSTITUTE(E240,".",""),",",""),";",""),":",""),"!",""),"?",""),"""",""),"'",""),"’",""),"“",""),"”",""))))</f>
        <v/>
      </c>
      <c r="P240" s="46">
        <f>IF($A240="","",LOWER(TRIM(SUBSTITUTE(SUBSTITUTE(SUBSTITUTE(SUBSTITUTE(SUBSTITUTE(SUBSTITUTE(SUBSTITUTE(SUBSTITUTE(SUBSTITUTE(SUBSTITUTE(SUBSTITUTE(F240,".",""),",",""),";",""),":",""),"!",""),"?",""),"""",""),"'",""),"’",""),"“",""),"”",""))))</f>
        <v/>
      </c>
      <c r="Q240" s="46">
        <f>IF($A240="","",LOWER(TRIM(SUBSTITUTE(SUBSTITUTE(SUBSTITUTE(SUBSTITUTE(SUBSTITUTE(SUBSTITUTE(SUBSTITUTE(SUBSTITUTE(SUBSTITUTE(SUBSTITUTE(SUBSTITUTE(G240,".",""),",",""),";",""),":",""),"!",""),"?",""),"""",""),"'",""),"’",""),"“",""),"”",""))))</f>
        <v/>
      </c>
      <c r="R240" s="46">
        <f>IF($A240="","",LEN(O240))</f>
        <v/>
      </c>
      <c r="S240" s="46">
        <f>IF($A240="","",IF(O240="",0,LEN(O240)-LEN(SUBSTITUTE(O240," ",""))+1))</f>
        <v/>
      </c>
      <c r="T240" s="46">
        <f>IF($A240="","",IF(AND(O240&lt;&gt;"",OR(O240=M240,AND(N240&lt;&gt;"",ISNUMBER(FIND("|"&amp;O240&amp;"|","|"&amp;N240&amp;"|"))))),1,0))</f>
        <v/>
      </c>
      <c r="U240" s="46">
        <f>IF($A240="","",IF(AND(Q240&lt;&gt;"",OR(Q240=M240,AND(N240&lt;&gt;"",ISNUMBER(FIND("|"&amp;Q240&amp;"|","|"&amp;N240&amp;"|"))))),1,0))</f>
        <v/>
      </c>
      <c r="V240" s="46">
        <f>IF($A240="","",IF(P240=O240,1,0))</f>
        <v/>
      </c>
      <c r="W240" s="46">
        <f>IF($A240="","",IF(Q240=O240,1,0))</f>
        <v/>
      </c>
      <c r="X240" s="46">
        <f>IF(OR($A240="",$H240=""),"",IF(AND($H240=1,T240=1),"TA",IF(AND($H240=0,T240=1),"FA",IF($H240=1,"FR","TR"))))</f>
        <v/>
      </c>
      <c r="Y240" s="46">
        <f>IF(OR($A240="",$H240=""),"",IF(AND($H240=1,U240=1),"TA",IF(AND($H240=0,U240=1),"FA",IF($H240=1,"FR","TR"))))</f>
        <v/>
      </c>
    </row>
    <row r="241">
      <c r="A241" s="54" t="n"/>
      <c r="B241" s="54" t="n"/>
      <c r="C241" s="54" t="n"/>
      <c r="D241" s="54" t="n"/>
      <c r="E241" s="54" t="n"/>
      <c r="F241" s="54" t="n"/>
      <c r="G241" s="54" t="n"/>
      <c r="H241" s="54" t="n"/>
      <c r="I241" s="54" t="n"/>
      <c r="J241" s="54" t="n"/>
      <c r="K241" s="54" t="n"/>
      <c r="L241" s="54" t="n"/>
      <c r="M241" s="46">
        <f>IF($A241="","",LOWER(TRIM(SUBSTITUTE(SUBSTITUTE(SUBSTITUTE(SUBSTITUTE(SUBSTITUTE(SUBSTITUTE(SUBSTITUTE(SUBSTITUTE(SUBSTITUTE(SUBSTITUTE(SUBSTITUTE(C241,".",""),",",""),";",""),":",""),"!",""),"?",""),"""",""),"'",""),"’",""),"“",""),"”",""))))</f>
        <v/>
      </c>
      <c r="N241" s="46">
        <f>IF($A241="","",SUBSTITUTE(SUBSTITUTE(LOWER(TRIM(SUBSTITUTE(SUBSTITUTE(SUBSTITUTE(SUBSTITUTE(SUBSTITUTE(SUBSTITUTE(SUBSTITUTE(SUBSTITUTE(SUBSTITUTE(SUBSTITUTE(SUBSTITUTE(D241,".",""),",",""),";",""),":",""),"!",""),"?",""),"""",""),"'",""),"’",""),"“",""),"”","")))," |","|"),"| ","|"))</f>
        <v/>
      </c>
      <c r="O241" s="46">
        <f>IF($A241="","",LOWER(TRIM(SUBSTITUTE(SUBSTITUTE(SUBSTITUTE(SUBSTITUTE(SUBSTITUTE(SUBSTITUTE(SUBSTITUTE(SUBSTITUTE(SUBSTITUTE(SUBSTITUTE(SUBSTITUTE(E241,".",""),",",""),";",""),":",""),"!",""),"?",""),"""",""),"'",""),"’",""),"“",""),"”",""))))</f>
        <v/>
      </c>
      <c r="P241" s="46">
        <f>IF($A241="","",LOWER(TRIM(SUBSTITUTE(SUBSTITUTE(SUBSTITUTE(SUBSTITUTE(SUBSTITUTE(SUBSTITUTE(SUBSTITUTE(SUBSTITUTE(SUBSTITUTE(SUBSTITUTE(SUBSTITUTE(F241,".",""),",",""),";",""),":",""),"!",""),"?",""),"""",""),"'",""),"’",""),"“",""),"”",""))))</f>
        <v/>
      </c>
      <c r="Q241" s="46">
        <f>IF($A241="","",LOWER(TRIM(SUBSTITUTE(SUBSTITUTE(SUBSTITUTE(SUBSTITUTE(SUBSTITUTE(SUBSTITUTE(SUBSTITUTE(SUBSTITUTE(SUBSTITUTE(SUBSTITUTE(SUBSTITUTE(G241,".",""),",",""),";",""),":",""),"!",""),"?",""),"""",""),"'",""),"’",""),"“",""),"”",""))))</f>
        <v/>
      </c>
      <c r="R241" s="46">
        <f>IF($A241="","",LEN(O241))</f>
        <v/>
      </c>
      <c r="S241" s="46">
        <f>IF($A241="","",IF(O241="",0,LEN(O241)-LEN(SUBSTITUTE(O241," ",""))+1))</f>
        <v/>
      </c>
      <c r="T241" s="46">
        <f>IF($A241="","",IF(AND(O241&lt;&gt;"",OR(O241=M241,AND(N241&lt;&gt;"",ISNUMBER(FIND("|"&amp;O241&amp;"|","|"&amp;N241&amp;"|"))))),1,0))</f>
        <v/>
      </c>
      <c r="U241" s="46">
        <f>IF($A241="","",IF(AND(Q241&lt;&gt;"",OR(Q241=M241,AND(N241&lt;&gt;"",ISNUMBER(FIND("|"&amp;Q241&amp;"|","|"&amp;N241&amp;"|"))))),1,0))</f>
        <v/>
      </c>
      <c r="V241" s="46">
        <f>IF($A241="","",IF(P241=O241,1,0))</f>
        <v/>
      </c>
      <c r="W241" s="46">
        <f>IF($A241="","",IF(Q241=O241,1,0))</f>
        <v/>
      </c>
      <c r="X241" s="46">
        <f>IF(OR($A241="",$H241=""),"",IF(AND($H241=1,T241=1),"TA",IF(AND($H241=0,T241=1),"FA",IF($H241=1,"FR","TR"))))</f>
        <v/>
      </c>
      <c r="Y241" s="46">
        <f>IF(OR($A241="",$H241=""),"",IF(AND($H241=1,U241=1),"TA",IF(AND($H241=0,U241=1),"FA",IF($H241=1,"FR","TR"))))</f>
        <v/>
      </c>
    </row>
    <row r="242">
      <c r="A242" s="54" t="n"/>
      <c r="B242" s="54" t="n"/>
      <c r="C242" s="54" t="n"/>
      <c r="D242" s="54" t="n"/>
      <c r="E242" s="54" t="n"/>
      <c r="F242" s="54" t="n"/>
      <c r="G242" s="54" t="n"/>
      <c r="H242" s="54" t="n"/>
      <c r="I242" s="54" t="n"/>
      <c r="J242" s="54" t="n"/>
      <c r="K242" s="54" t="n"/>
      <c r="L242" s="54" t="n"/>
      <c r="M242" s="46">
        <f>IF($A242="","",LOWER(TRIM(SUBSTITUTE(SUBSTITUTE(SUBSTITUTE(SUBSTITUTE(SUBSTITUTE(SUBSTITUTE(SUBSTITUTE(SUBSTITUTE(SUBSTITUTE(SUBSTITUTE(SUBSTITUTE(C242,".",""),",",""),";",""),":",""),"!",""),"?",""),"""",""),"'",""),"’",""),"“",""),"”",""))))</f>
        <v/>
      </c>
      <c r="N242" s="46">
        <f>IF($A242="","",SUBSTITUTE(SUBSTITUTE(LOWER(TRIM(SUBSTITUTE(SUBSTITUTE(SUBSTITUTE(SUBSTITUTE(SUBSTITUTE(SUBSTITUTE(SUBSTITUTE(SUBSTITUTE(SUBSTITUTE(SUBSTITUTE(SUBSTITUTE(D242,".",""),",",""),";",""),":",""),"!",""),"?",""),"""",""),"'",""),"’",""),"“",""),"”","")))," |","|"),"| ","|"))</f>
        <v/>
      </c>
      <c r="O242" s="46">
        <f>IF($A242="","",LOWER(TRIM(SUBSTITUTE(SUBSTITUTE(SUBSTITUTE(SUBSTITUTE(SUBSTITUTE(SUBSTITUTE(SUBSTITUTE(SUBSTITUTE(SUBSTITUTE(SUBSTITUTE(SUBSTITUTE(E242,".",""),",",""),";",""),":",""),"!",""),"?",""),"""",""),"'",""),"’",""),"“",""),"”",""))))</f>
        <v/>
      </c>
      <c r="P242" s="46">
        <f>IF($A242="","",LOWER(TRIM(SUBSTITUTE(SUBSTITUTE(SUBSTITUTE(SUBSTITUTE(SUBSTITUTE(SUBSTITUTE(SUBSTITUTE(SUBSTITUTE(SUBSTITUTE(SUBSTITUTE(SUBSTITUTE(F242,".",""),",",""),";",""),":",""),"!",""),"?",""),"""",""),"'",""),"’",""),"“",""),"”",""))))</f>
        <v/>
      </c>
      <c r="Q242" s="46">
        <f>IF($A242="","",LOWER(TRIM(SUBSTITUTE(SUBSTITUTE(SUBSTITUTE(SUBSTITUTE(SUBSTITUTE(SUBSTITUTE(SUBSTITUTE(SUBSTITUTE(SUBSTITUTE(SUBSTITUTE(SUBSTITUTE(G242,".",""),",",""),";",""),":",""),"!",""),"?",""),"""",""),"'",""),"’",""),"“",""),"”",""))))</f>
        <v/>
      </c>
      <c r="R242" s="46">
        <f>IF($A242="","",LEN(O242))</f>
        <v/>
      </c>
      <c r="S242" s="46">
        <f>IF($A242="","",IF(O242="",0,LEN(O242)-LEN(SUBSTITUTE(O242," ",""))+1))</f>
        <v/>
      </c>
      <c r="T242" s="46">
        <f>IF($A242="","",IF(AND(O242&lt;&gt;"",OR(O242=M242,AND(N242&lt;&gt;"",ISNUMBER(FIND("|"&amp;O242&amp;"|","|"&amp;N242&amp;"|"))))),1,0))</f>
        <v/>
      </c>
      <c r="U242" s="46">
        <f>IF($A242="","",IF(AND(Q242&lt;&gt;"",OR(Q242=M242,AND(N242&lt;&gt;"",ISNUMBER(FIND("|"&amp;Q242&amp;"|","|"&amp;N242&amp;"|"))))),1,0))</f>
        <v/>
      </c>
      <c r="V242" s="46">
        <f>IF($A242="","",IF(P242=O242,1,0))</f>
        <v/>
      </c>
      <c r="W242" s="46">
        <f>IF($A242="","",IF(Q242=O242,1,0))</f>
        <v/>
      </c>
      <c r="X242" s="46">
        <f>IF(OR($A242="",$H242=""),"",IF(AND($H242=1,T242=1),"TA",IF(AND($H242=0,T242=1),"FA",IF($H242=1,"FR","TR"))))</f>
        <v/>
      </c>
      <c r="Y242" s="46">
        <f>IF(OR($A242="",$H242=""),"",IF(AND($H242=1,U242=1),"TA",IF(AND($H242=0,U242=1),"FA",IF($H242=1,"FR","TR"))))</f>
        <v/>
      </c>
    </row>
    <row r="243">
      <c r="A243" s="54" t="n"/>
      <c r="B243" s="54" t="n"/>
      <c r="C243" s="54" t="n"/>
      <c r="D243" s="54" t="n"/>
      <c r="E243" s="54" t="n"/>
      <c r="F243" s="54" t="n"/>
      <c r="G243" s="54" t="n"/>
      <c r="H243" s="54" t="n"/>
      <c r="I243" s="54" t="n"/>
      <c r="J243" s="54" t="n"/>
      <c r="K243" s="54" t="n"/>
      <c r="L243" s="54" t="n"/>
      <c r="M243" s="46">
        <f>IF($A243="","",LOWER(TRIM(SUBSTITUTE(SUBSTITUTE(SUBSTITUTE(SUBSTITUTE(SUBSTITUTE(SUBSTITUTE(SUBSTITUTE(SUBSTITUTE(SUBSTITUTE(SUBSTITUTE(SUBSTITUTE(C243,".",""),",",""),";",""),":",""),"!",""),"?",""),"""",""),"'",""),"’",""),"“",""),"”",""))))</f>
        <v/>
      </c>
      <c r="N243" s="46">
        <f>IF($A243="","",SUBSTITUTE(SUBSTITUTE(LOWER(TRIM(SUBSTITUTE(SUBSTITUTE(SUBSTITUTE(SUBSTITUTE(SUBSTITUTE(SUBSTITUTE(SUBSTITUTE(SUBSTITUTE(SUBSTITUTE(SUBSTITUTE(SUBSTITUTE(D243,".",""),",",""),";",""),":",""),"!",""),"?",""),"""",""),"'",""),"’",""),"“",""),"”","")))," |","|"),"| ","|"))</f>
        <v/>
      </c>
      <c r="O243" s="46">
        <f>IF($A243="","",LOWER(TRIM(SUBSTITUTE(SUBSTITUTE(SUBSTITUTE(SUBSTITUTE(SUBSTITUTE(SUBSTITUTE(SUBSTITUTE(SUBSTITUTE(SUBSTITUTE(SUBSTITUTE(SUBSTITUTE(E243,".",""),",",""),";",""),":",""),"!",""),"?",""),"""",""),"'",""),"’",""),"“",""),"”",""))))</f>
        <v/>
      </c>
      <c r="P243" s="46">
        <f>IF($A243="","",LOWER(TRIM(SUBSTITUTE(SUBSTITUTE(SUBSTITUTE(SUBSTITUTE(SUBSTITUTE(SUBSTITUTE(SUBSTITUTE(SUBSTITUTE(SUBSTITUTE(SUBSTITUTE(SUBSTITUTE(F243,".",""),",",""),";",""),":",""),"!",""),"?",""),"""",""),"'",""),"’",""),"“",""),"”",""))))</f>
        <v/>
      </c>
      <c r="Q243" s="46">
        <f>IF($A243="","",LOWER(TRIM(SUBSTITUTE(SUBSTITUTE(SUBSTITUTE(SUBSTITUTE(SUBSTITUTE(SUBSTITUTE(SUBSTITUTE(SUBSTITUTE(SUBSTITUTE(SUBSTITUTE(SUBSTITUTE(G243,".",""),",",""),";",""),":",""),"!",""),"?",""),"""",""),"'",""),"’",""),"“",""),"”",""))))</f>
        <v/>
      </c>
      <c r="R243" s="46">
        <f>IF($A243="","",LEN(O243))</f>
        <v/>
      </c>
      <c r="S243" s="46">
        <f>IF($A243="","",IF(O243="",0,LEN(O243)-LEN(SUBSTITUTE(O243," ",""))+1))</f>
        <v/>
      </c>
      <c r="T243" s="46">
        <f>IF($A243="","",IF(AND(O243&lt;&gt;"",OR(O243=M243,AND(N243&lt;&gt;"",ISNUMBER(FIND("|"&amp;O243&amp;"|","|"&amp;N243&amp;"|"))))),1,0))</f>
        <v/>
      </c>
      <c r="U243" s="46">
        <f>IF($A243="","",IF(AND(Q243&lt;&gt;"",OR(Q243=M243,AND(N243&lt;&gt;"",ISNUMBER(FIND("|"&amp;Q243&amp;"|","|"&amp;N243&amp;"|"))))),1,0))</f>
        <v/>
      </c>
      <c r="V243" s="46">
        <f>IF($A243="","",IF(P243=O243,1,0))</f>
        <v/>
      </c>
      <c r="W243" s="46">
        <f>IF($A243="","",IF(Q243=O243,1,0))</f>
        <v/>
      </c>
      <c r="X243" s="46">
        <f>IF(OR($A243="",$H243=""),"",IF(AND($H243=1,T243=1),"TA",IF(AND($H243=0,T243=1),"FA",IF($H243=1,"FR","TR"))))</f>
        <v/>
      </c>
      <c r="Y243" s="46">
        <f>IF(OR($A243="",$H243=""),"",IF(AND($H243=1,U243=1),"TA",IF(AND($H243=0,U243=1),"FA",IF($H243=1,"FR","TR"))))</f>
        <v/>
      </c>
    </row>
    <row r="244">
      <c r="A244" s="54" t="n"/>
      <c r="B244" s="54" t="n"/>
      <c r="C244" s="54" t="n"/>
      <c r="D244" s="54" t="n"/>
      <c r="E244" s="54" t="n"/>
      <c r="F244" s="54" t="n"/>
      <c r="G244" s="54" t="n"/>
      <c r="H244" s="54" t="n"/>
      <c r="I244" s="54" t="n"/>
      <c r="J244" s="54" t="n"/>
      <c r="K244" s="54" t="n"/>
      <c r="L244" s="54" t="n"/>
      <c r="M244" s="46">
        <f>IF($A244="","",LOWER(TRIM(SUBSTITUTE(SUBSTITUTE(SUBSTITUTE(SUBSTITUTE(SUBSTITUTE(SUBSTITUTE(SUBSTITUTE(SUBSTITUTE(SUBSTITUTE(SUBSTITUTE(SUBSTITUTE(C244,".",""),",",""),";",""),":",""),"!",""),"?",""),"""",""),"'",""),"’",""),"“",""),"”",""))))</f>
        <v/>
      </c>
      <c r="N244" s="46">
        <f>IF($A244="","",SUBSTITUTE(SUBSTITUTE(LOWER(TRIM(SUBSTITUTE(SUBSTITUTE(SUBSTITUTE(SUBSTITUTE(SUBSTITUTE(SUBSTITUTE(SUBSTITUTE(SUBSTITUTE(SUBSTITUTE(SUBSTITUTE(SUBSTITUTE(D244,".",""),",",""),";",""),":",""),"!",""),"?",""),"""",""),"'",""),"’",""),"“",""),"”","")))," |","|"),"| ","|"))</f>
        <v/>
      </c>
      <c r="O244" s="46">
        <f>IF($A244="","",LOWER(TRIM(SUBSTITUTE(SUBSTITUTE(SUBSTITUTE(SUBSTITUTE(SUBSTITUTE(SUBSTITUTE(SUBSTITUTE(SUBSTITUTE(SUBSTITUTE(SUBSTITUTE(SUBSTITUTE(E244,".",""),",",""),";",""),":",""),"!",""),"?",""),"""",""),"'",""),"’",""),"“",""),"”",""))))</f>
        <v/>
      </c>
      <c r="P244" s="46">
        <f>IF($A244="","",LOWER(TRIM(SUBSTITUTE(SUBSTITUTE(SUBSTITUTE(SUBSTITUTE(SUBSTITUTE(SUBSTITUTE(SUBSTITUTE(SUBSTITUTE(SUBSTITUTE(SUBSTITUTE(SUBSTITUTE(F244,".",""),",",""),";",""),":",""),"!",""),"?",""),"""",""),"'",""),"’",""),"“",""),"”",""))))</f>
        <v/>
      </c>
      <c r="Q244" s="46">
        <f>IF($A244="","",LOWER(TRIM(SUBSTITUTE(SUBSTITUTE(SUBSTITUTE(SUBSTITUTE(SUBSTITUTE(SUBSTITUTE(SUBSTITUTE(SUBSTITUTE(SUBSTITUTE(SUBSTITUTE(SUBSTITUTE(G244,".",""),",",""),";",""),":",""),"!",""),"?",""),"""",""),"'",""),"’",""),"“",""),"”",""))))</f>
        <v/>
      </c>
      <c r="R244" s="46">
        <f>IF($A244="","",LEN(O244))</f>
        <v/>
      </c>
      <c r="S244" s="46">
        <f>IF($A244="","",IF(O244="",0,LEN(O244)-LEN(SUBSTITUTE(O244," ",""))+1))</f>
        <v/>
      </c>
      <c r="T244" s="46">
        <f>IF($A244="","",IF(AND(O244&lt;&gt;"",OR(O244=M244,AND(N244&lt;&gt;"",ISNUMBER(FIND("|"&amp;O244&amp;"|","|"&amp;N244&amp;"|"))))),1,0))</f>
        <v/>
      </c>
      <c r="U244" s="46">
        <f>IF($A244="","",IF(AND(Q244&lt;&gt;"",OR(Q244=M244,AND(N244&lt;&gt;"",ISNUMBER(FIND("|"&amp;Q244&amp;"|","|"&amp;N244&amp;"|"))))),1,0))</f>
        <v/>
      </c>
      <c r="V244" s="46">
        <f>IF($A244="","",IF(P244=O244,1,0))</f>
        <v/>
      </c>
      <c r="W244" s="46">
        <f>IF($A244="","",IF(Q244=O244,1,0))</f>
        <v/>
      </c>
      <c r="X244" s="46">
        <f>IF(OR($A244="",$H244=""),"",IF(AND($H244=1,T244=1),"TA",IF(AND($H244=0,T244=1),"FA",IF($H244=1,"FR","TR"))))</f>
        <v/>
      </c>
      <c r="Y244" s="46">
        <f>IF(OR($A244="",$H244=""),"",IF(AND($H244=1,U244=1),"TA",IF(AND($H244=0,U244=1),"FA",IF($H244=1,"FR","TR"))))</f>
        <v/>
      </c>
    </row>
    <row r="245">
      <c r="A245" s="54" t="n"/>
      <c r="B245" s="54" t="n"/>
      <c r="C245" s="54" t="n"/>
      <c r="D245" s="54" t="n"/>
      <c r="E245" s="54" t="n"/>
      <c r="F245" s="54" t="n"/>
      <c r="G245" s="54" t="n"/>
      <c r="H245" s="54" t="n"/>
      <c r="I245" s="54" t="n"/>
      <c r="J245" s="54" t="n"/>
      <c r="K245" s="54" t="n"/>
      <c r="L245" s="54" t="n"/>
      <c r="M245" s="46">
        <f>IF($A245="","",LOWER(TRIM(SUBSTITUTE(SUBSTITUTE(SUBSTITUTE(SUBSTITUTE(SUBSTITUTE(SUBSTITUTE(SUBSTITUTE(SUBSTITUTE(SUBSTITUTE(SUBSTITUTE(SUBSTITUTE(C245,".",""),",",""),";",""),":",""),"!",""),"?",""),"""",""),"'",""),"’",""),"“",""),"”",""))))</f>
        <v/>
      </c>
      <c r="N245" s="46">
        <f>IF($A245="","",SUBSTITUTE(SUBSTITUTE(LOWER(TRIM(SUBSTITUTE(SUBSTITUTE(SUBSTITUTE(SUBSTITUTE(SUBSTITUTE(SUBSTITUTE(SUBSTITUTE(SUBSTITUTE(SUBSTITUTE(SUBSTITUTE(SUBSTITUTE(D245,".",""),",",""),";",""),":",""),"!",""),"?",""),"""",""),"'",""),"’",""),"“",""),"”","")))," |","|"),"| ","|"))</f>
        <v/>
      </c>
      <c r="O245" s="46">
        <f>IF($A245="","",LOWER(TRIM(SUBSTITUTE(SUBSTITUTE(SUBSTITUTE(SUBSTITUTE(SUBSTITUTE(SUBSTITUTE(SUBSTITUTE(SUBSTITUTE(SUBSTITUTE(SUBSTITUTE(SUBSTITUTE(E245,".",""),",",""),";",""),":",""),"!",""),"?",""),"""",""),"'",""),"’",""),"“",""),"”",""))))</f>
        <v/>
      </c>
      <c r="P245" s="46">
        <f>IF($A245="","",LOWER(TRIM(SUBSTITUTE(SUBSTITUTE(SUBSTITUTE(SUBSTITUTE(SUBSTITUTE(SUBSTITUTE(SUBSTITUTE(SUBSTITUTE(SUBSTITUTE(SUBSTITUTE(SUBSTITUTE(F245,".",""),",",""),";",""),":",""),"!",""),"?",""),"""",""),"'",""),"’",""),"“",""),"”",""))))</f>
        <v/>
      </c>
      <c r="Q245" s="46">
        <f>IF($A245="","",LOWER(TRIM(SUBSTITUTE(SUBSTITUTE(SUBSTITUTE(SUBSTITUTE(SUBSTITUTE(SUBSTITUTE(SUBSTITUTE(SUBSTITUTE(SUBSTITUTE(SUBSTITUTE(SUBSTITUTE(G245,".",""),",",""),";",""),":",""),"!",""),"?",""),"""",""),"'",""),"’",""),"“",""),"”",""))))</f>
        <v/>
      </c>
      <c r="R245" s="46">
        <f>IF($A245="","",LEN(O245))</f>
        <v/>
      </c>
      <c r="S245" s="46">
        <f>IF($A245="","",IF(O245="",0,LEN(O245)-LEN(SUBSTITUTE(O245," ",""))+1))</f>
        <v/>
      </c>
      <c r="T245" s="46">
        <f>IF($A245="","",IF(AND(O245&lt;&gt;"",OR(O245=M245,AND(N245&lt;&gt;"",ISNUMBER(FIND("|"&amp;O245&amp;"|","|"&amp;N245&amp;"|"))))),1,0))</f>
        <v/>
      </c>
      <c r="U245" s="46">
        <f>IF($A245="","",IF(AND(Q245&lt;&gt;"",OR(Q245=M245,AND(N245&lt;&gt;"",ISNUMBER(FIND("|"&amp;Q245&amp;"|","|"&amp;N245&amp;"|"))))),1,0))</f>
        <v/>
      </c>
      <c r="V245" s="46">
        <f>IF($A245="","",IF(P245=O245,1,0))</f>
        <v/>
      </c>
      <c r="W245" s="46">
        <f>IF($A245="","",IF(Q245=O245,1,0))</f>
        <v/>
      </c>
      <c r="X245" s="46">
        <f>IF(OR($A245="",$H245=""),"",IF(AND($H245=1,T245=1),"TA",IF(AND($H245=0,T245=1),"FA",IF($H245=1,"FR","TR"))))</f>
        <v/>
      </c>
      <c r="Y245" s="46">
        <f>IF(OR($A245="",$H245=""),"",IF(AND($H245=1,U245=1),"TA",IF(AND($H245=0,U245=1),"FA",IF($H245=1,"FR","TR"))))</f>
        <v/>
      </c>
    </row>
    <row r="246">
      <c r="A246" s="54" t="n"/>
      <c r="B246" s="54" t="n"/>
      <c r="C246" s="54" t="n"/>
      <c r="D246" s="54" t="n"/>
      <c r="E246" s="54" t="n"/>
      <c r="F246" s="54" t="n"/>
      <c r="G246" s="54" t="n"/>
      <c r="H246" s="54" t="n"/>
      <c r="I246" s="54" t="n"/>
      <c r="J246" s="54" t="n"/>
      <c r="K246" s="54" t="n"/>
      <c r="L246" s="54" t="n"/>
      <c r="M246" s="46">
        <f>IF($A246="","",LOWER(TRIM(SUBSTITUTE(SUBSTITUTE(SUBSTITUTE(SUBSTITUTE(SUBSTITUTE(SUBSTITUTE(SUBSTITUTE(SUBSTITUTE(SUBSTITUTE(SUBSTITUTE(SUBSTITUTE(C246,".",""),",",""),";",""),":",""),"!",""),"?",""),"""",""),"'",""),"’",""),"“",""),"”",""))))</f>
        <v/>
      </c>
      <c r="N246" s="46">
        <f>IF($A246="","",SUBSTITUTE(SUBSTITUTE(LOWER(TRIM(SUBSTITUTE(SUBSTITUTE(SUBSTITUTE(SUBSTITUTE(SUBSTITUTE(SUBSTITUTE(SUBSTITUTE(SUBSTITUTE(SUBSTITUTE(SUBSTITUTE(SUBSTITUTE(D246,".",""),",",""),";",""),":",""),"!",""),"?",""),"""",""),"'",""),"’",""),"“",""),"”","")))," |","|"),"| ","|"))</f>
        <v/>
      </c>
      <c r="O246" s="46">
        <f>IF($A246="","",LOWER(TRIM(SUBSTITUTE(SUBSTITUTE(SUBSTITUTE(SUBSTITUTE(SUBSTITUTE(SUBSTITUTE(SUBSTITUTE(SUBSTITUTE(SUBSTITUTE(SUBSTITUTE(SUBSTITUTE(E246,".",""),",",""),";",""),":",""),"!",""),"?",""),"""",""),"'",""),"’",""),"“",""),"”",""))))</f>
        <v/>
      </c>
      <c r="P246" s="46">
        <f>IF($A246="","",LOWER(TRIM(SUBSTITUTE(SUBSTITUTE(SUBSTITUTE(SUBSTITUTE(SUBSTITUTE(SUBSTITUTE(SUBSTITUTE(SUBSTITUTE(SUBSTITUTE(SUBSTITUTE(SUBSTITUTE(F246,".",""),",",""),";",""),":",""),"!",""),"?",""),"""",""),"'",""),"’",""),"“",""),"”",""))))</f>
        <v/>
      </c>
      <c r="Q246" s="46">
        <f>IF($A246="","",LOWER(TRIM(SUBSTITUTE(SUBSTITUTE(SUBSTITUTE(SUBSTITUTE(SUBSTITUTE(SUBSTITUTE(SUBSTITUTE(SUBSTITUTE(SUBSTITUTE(SUBSTITUTE(SUBSTITUTE(G246,".",""),",",""),";",""),":",""),"!",""),"?",""),"""",""),"'",""),"’",""),"“",""),"”",""))))</f>
        <v/>
      </c>
      <c r="R246" s="46">
        <f>IF($A246="","",LEN(O246))</f>
        <v/>
      </c>
      <c r="S246" s="46">
        <f>IF($A246="","",IF(O246="",0,LEN(O246)-LEN(SUBSTITUTE(O246," ",""))+1))</f>
        <v/>
      </c>
      <c r="T246" s="46">
        <f>IF($A246="","",IF(AND(O246&lt;&gt;"",OR(O246=M246,AND(N246&lt;&gt;"",ISNUMBER(FIND("|"&amp;O246&amp;"|","|"&amp;N246&amp;"|"))))),1,0))</f>
        <v/>
      </c>
      <c r="U246" s="46">
        <f>IF($A246="","",IF(AND(Q246&lt;&gt;"",OR(Q246=M246,AND(N246&lt;&gt;"",ISNUMBER(FIND("|"&amp;Q246&amp;"|","|"&amp;N246&amp;"|"))))),1,0))</f>
        <v/>
      </c>
      <c r="V246" s="46">
        <f>IF($A246="","",IF(P246=O246,1,0))</f>
        <v/>
      </c>
      <c r="W246" s="46">
        <f>IF($A246="","",IF(Q246=O246,1,0))</f>
        <v/>
      </c>
      <c r="X246" s="46">
        <f>IF(OR($A246="",$H246=""),"",IF(AND($H246=1,T246=1),"TA",IF(AND($H246=0,T246=1),"FA",IF($H246=1,"FR","TR"))))</f>
        <v/>
      </c>
      <c r="Y246" s="46">
        <f>IF(OR($A246="",$H246=""),"",IF(AND($H246=1,U246=1),"TA",IF(AND($H246=0,U246=1),"FA",IF($H246=1,"FR","TR"))))</f>
        <v/>
      </c>
    </row>
    <row r="247">
      <c r="A247" s="54" t="n"/>
      <c r="B247" s="54" t="n"/>
      <c r="C247" s="54" t="n"/>
      <c r="D247" s="54" t="n"/>
      <c r="E247" s="54" t="n"/>
      <c r="F247" s="54" t="n"/>
      <c r="G247" s="54" t="n"/>
      <c r="H247" s="54" t="n"/>
      <c r="I247" s="54" t="n"/>
      <c r="J247" s="54" t="n"/>
      <c r="K247" s="54" t="n"/>
      <c r="L247" s="54" t="n"/>
      <c r="M247" s="46">
        <f>IF($A247="","",LOWER(TRIM(SUBSTITUTE(SUBSTITUTE(SUBSTITUTE(SUBSTITUTE(SUBSTITUTE(SUBSTITUTE(SUBSTITUTE(SUBSTITUTE(SUBSTITUTE(SUBSTITUTE(SUBSTITUTE(C247,".",""),",",""),";",""),":",""),"!",""),"?",""),"""",""),"'",""),"’",""),"“",""),"”",""))))</f>
        <v/>
      </c>
      <c r="N247" s="46">
        <f>IF($A247="","",SUBSTITUTE(SUBSTITUTE(LOWER(TRIM(SUBSTITUTE(SUBSTITUTE(SUBSTITUTE(SUBSTITUTE(SUBSTITUTE(SUBSTITUTE(SUBSTITUTE(SUBSTITUTE(SUBSTITUTE(SUBSTITUTE(SUBSTITUTE(D247,".",""),",",""),";",""),":",""),"!",""),"?",""),"""",""),"'",""),"’",""),"“",""),"”","")))," |","|"),"| ","|"))</f>
        <v/>
      </c>
      <c r="O247" s="46">
        <f>IF($A247="","",LOWER(TRIM(SUBSTITUTE(SUBSTITUTE(SUBSTITUTE(SUBSTITUTE(SUBSTITUTE(SUBSTITUTE(SUBSTITUTE(SUBSTITUTE(SUBSTITUTE(SUBSTITUTE(SUBSTITUTE(E247,".",""),",",""),";",""),":",""),"!",""),"?",""),"""",""),"'",""),"’",""),"“",""),"”",""))))</f>
        <v/>
      </c>
      <c r="P247" s="46">
        <f>IF($A247="","",LOWER(TRIM(SUBSTITUTE(SUBSTITUTE(SUBSTITUTE(SUBSTITUTE(SUBSTITUTE(SUBSTITUTE(SUBSTITUTE(SUBSTITUTE(SUBSTITUTE(SUBSTITUTE(SUBSTITUTE(F247,".",""),",",""),";",""),":",""),"!",""),"?",""),"""",""),"'",""),"’",""),"“",""),"”",""))))</f>
        <v/>
      </c>
      <c r="Q247" s="46">
        <f>IF($A247="","",LOWER(TRIM(SUBSTITUTE(SUBSTITUTE(SUBSTITUTE(SUBSTITUTE(SUBSTITUTE(SUBSTITUTE(SUBSTITUTE(SUBSTITUTE(SUBSTITUTE(SUBSTITUTE(SUBSTITUTE(G247,".",""),",",""),";",""),":",""),"!",""),"?",""),"""",""),"'",""),"’",""),"“",""),"”",""))))</f>
        <v/>
      </c>
      <c r="R247" s="46">
        <f>IF($A247="","",LEN(O247))</f>
        <v/>
      </c>
      <c r="S247" s="46">
        <f>IF($A247="","",IF(O247="",0,LEN(O247)-LEN(SUBSTITUTE(O247," ",""))+1))</f>
        <v/>
      </c>
      <c r="T247" s="46">
        <f>IF($A247="","",IF(AND(O247&lt;&gt;"",OR(O247=M247,AND(N247&lt;&gt;"",ISNUMBER(FIND("|"&amp;O247&amp;"|","|"&amp;N247&amp;"|"))))),1,0))</f>
        <v/>
      </c>
      <c r="U247" s="46">
        <f>IF($A247="","",IF(AND(Q247&lt;&gt;"",OR(Q247=M247,AND(N247&lt;&gt;"",ISNUMBER(FIND("|"&amp;Q247&amp;"|","|"&amp;N247&amp;"|"))))),1,0))</f>
        <v/>
      </c>
      <c r="V247" s="46">
        <f>IF($A247="","",IF(P247=O247,1,0))</f>
        <v/>
      </c>
      <c r="W247" s="46">
        <f>IF($A247="","",IF(Q247=O247,1,0))</f>
        <v/>
      </c>
      <c r="X247" s="46">
        <f>IF(OR($A247="",$H247=""),"",IF(AND($H247=1,T247=1),"TA",IF(AND($H247=0,T247=1),"FA",IF($H247=1,"FR","TR"))))</f>
        <v/>
      </c>
      <c r="Y247" s="46">
        <f>IF(OR($A247="",$H247=""),"",IF(AND($H247=1,U247=1),"TA",IF(AND($H247=0,U247=1),"FA",IF($H247=1,"FR","TR"))))</f>
        <v/>
      </c>
    </row>
    <row r="248">
      <c r="A248" s="54" t="n"/>
      <c r="B248" s="54" t="n"/>
      <c r="C248" s="54" t="n"/>
      <c r="D248" s="54" t="n"/>
      <c r="E248" s="54" t="n"/>
      <c r="F248" s="54" t="n"/>
      <c r="G248" s="54" t="n"/>
      <c r="H248" s="54" t="n"/>
      <c r="I248" s="54" t="n"/>
      <c r="J248" s="54" t="n"/>
      <c r="K248" s="54" t="n"/>
      <c r="L248" s="54" t="n"/>
      <c r="M248" s="46">
        <f>IF($A248="","",LOWER(TRIM(SUBSTITUTE(SUBSTITUTE(SUBSTITUTE(SUBSTITUTE(SUBSTITUTE(SUBSTITUTE(SUBSTITUTE(SUBSTITUTE(SUBSTITUTE(SUBSTITUTE(SUBSTITUTE(C248,".",""),",",""),";",""),":",""),"!",""),"?",""),"""",""),"'",""),"’",""),"“",""),"”",""))))</f>
        <v/>
      </c>
      <c r="N248" s="46">
        <f>IF($A248="","",SUBSTITUTE(SUBSTITUTE(LOWER(TRIM(SUBSTITUTE(SUBSTITUTE(SUBSTITUTE(SUBSTITUTE(SUBSTITUTE(SUBSTITUTE(SUBSTITUTE(SUBSTITUTE(SUBSTITUTE(SUBSTITUTE(SUBSTITUTE(D248,".",""),",",""),";",""),":",""),"!",""),"?",""),"""",""),"'",""),"’",""),"“",""),"”","")))," |","|"),"| ","|"))</f>
        <v/>
      </c>
      <c r="O248" s="46">
        <f>IF($A248="","",LOWER(TRIM(SUBSTITUTE(SUBSTITUTE(SUBSTITUTE(SUBSTITUTE(SUBSTITUTE(SUBSTITUTE(SUBSTITUTE(SUBSTITUTE(SUBSTITUTE(SUBSTITUTE(SUBSTITUTE(E248,".",""),",",""),";",""),":",""),"!",""),"?",""),"""",""),"'",""),"’",""),"“",""),"”",""))))</f>
        <v/>
      </c>
      <c r="P248" s="46">
        <f>IF($A248="","",LOWER(TRIM(SUBSTITUTE(SUBSTITUTE(SUBSTITUTE(SUBSTITUTE(SUBSTITUTE(SUBSTITUTE(SUBSTITUTE(SUBSTITUTE(SUBSTITUTE(SUBSTITUTE(SUBSTITUTE(F248,".",""),",",""),";",""),":",""),"!",""),"?",""),"""",""),"'",""),"’",""),"“",""),"”",""))))</f>
        <v/>
      </c>
      <c r="Q248" s="46">
        <f>IF($A248="","",LOWER(TRIM(SUBSTITUTE(SUBSTITUTE(SUBSTITUTE(SUBSTITUTE(SUBSTITUTE(SUBSTITUTE(SUBSTITUTE(SUBSTITUTE(SUBSTITUTE(SUBSTITUTE(SUBSTITUTE(G248,".",""),",",""),";",""),":",""),"!",""),"?",""),"""",""),"'",""),"’",""),"“",""),"”",""))))</f>
        <v/>
      </c>
      <c r="R248" s="46">
        <f>IF($A248="","",LEN(O248))</f>
        <v/>
      </c>
      <c r="S248" s="46">
        <f>IF($A248="","",IF(O248="",0,LEN(O248)-LEN(SUBSTITUTE(O248," ",""))+1))</f>
        <v/>
      </c>
      <c r="T248" s="46">
        <f>IF($A248="","",IF(AND(O248&lt;&gt;"",OR(O248=M248,AND(N248&lt;&gt;"",ISNUMBER(FIND("|"&amp;O248&amp;"|","|"&amp;N248&amp;"|"))))),1,0))</f>
        <v/>
      </c>
      <c r="U248" s="46">
        <f>IF($A248="","",IF(AND(Q248&lt;&gt;"",OR(Q248=M248,AND(N248&lt;&gt;"",ISNUMBER(FIND("|"&amp;Q248&amp;"|","|"&amp;N248&amp;"|"))))),1,0))</f>
        <v/>
      </c>
      <c r="V248" s="46">
        <f>IF($A248="","",IF(P248=O248,1,0))</f>
        <v/>
      </c>
      <c r="W248" s="46">
        <f>IF($A248="","",IF(Q248=O248,1,0))</f>
        <v/>
      </c>
      <c r="X248" s="46">
        <f>IF(OR($A248="",$H248=""),"",IF(AND($H248=1,T248=1),"TA",IF(AND($H248=0,T248=1),"FA",IF($H248=1,"FR","TR"))))</f>
        <v/>
      </c>
      <c r="Y248" s="46">
        <f>IF(OR($A248="",$H248=""),"",IF(AND($H248=1,U248=1),"TA",IF(AND($H248=0,U248=1),"FA",IF($H248=1,"FR","TR"))))</f>
        <v/>
      </c>
    </row>
    <row r="249">
      <c r="A249" s="54" t="n"/>
      <c r="B249" s="54" t="n"/>
      <c r="C249" s="54" t="n"/>
      <c r="D249" s="54" t="n"/>
      <c r="E249" s="54" t="n"/>
      <c r="F249" s="54" t="n"/>
      <c r="G249" s="54" t="n"/>
      <c r="H249" s="54" t="n"/>
      <c r="I249" s="54" t="n"/>
      <c r="J249" s="54" t="n"/>
      <c r="K249" s="54" t="n"/>
      <c r="L249" s="54" t="n"/>
      <c r="M249" s="46">
        <f>IF($A249="","",LOWER(TRIM(SUBSTITUTE(SUBSTITUTE(SUBSTITUTE(SUBSTITUTE(SUBSTITUTE(SUBSTITUTE(SUBSTITUTE(SUBSTITUTE(SUBSTITUTE(SUBSTITUTE(SUBSTITUTE(C249,".",""),",",""),";",""),":",""),"!",""),"?",""),"""",""),"'",""),"’",""),"“",""),"”",""))))</f>
        <v/>
      </c>
      <c r="N249" s="46">
        <f>IF($A249="","",SUBSTITUTE(SUBSTITUTE(LOWER(TRIM(SUBSTITUTE(SUBSTITUTE(SUBSTITUTE(SUBSTITUTE(SUBSTITUTE(SUBSTITUTE(SUBSTITUTE(SUBSTITUTE(SUBSTITUTE(SUBSTITUTE(SUBSTITUTE(D249,".",""),",",""),";",""),":",""),"!",""),"?",""),"""",""),"'",""),"’",""),"“",""),"”","")))," |","|"),"| ","|"))</f>
        <v/>
      </c>
      <c r="O249" s="46">
        <f>IF($A249="","",LOWER(TRIM(SUBSTITUTE(SUBSTITUTE(SUBSTITUTE(SUBSTITUTE(SUBSTITUTE(SUBSTITUTE(SUBSTITUTE(SUBSTITUTE(SUBSTITUTE(SUBSTITUTE(SUBSTITUTE(E249,".",""),",",""),";",""),":",""),"!",""),"?",""),"""",""),"'",""),"’",""),"“",""),"”",""))))</f>
        <v/>
      </c>
      <c r="P249" s="46">
        <f>IF($A249="","",LOWER(TRIM(SUBSTITUTE(SUBSTITUTE(SUBSTITUTE(SUBSTITUTE(SUBSTITUTE(SUBSTITUTE(SUBSTITUTE(SUBSTITUTE(SUBSTITUTE(SUBSTITUTE(SUBSTITUTE(F249,".",""),",",""),";",""),":",""),"!",""),"?",""),"""",""),"'",""),"’",""),"“",""),"”",""))))</f>
        <v/>
      </c>
      <c r="Q249" s="46">
        <f>IF($A249="","",LOWER(TRIM(SUBSTITUTE(SUBSTITUTE(SUBSTITUTE(SUBSTITUTE(SUBSTITUTE(SUBSTITUTE(SUBSTITUTE(SUBSTITUTE(SUBSTITUTE(SUBSTITUTE(SUBSTITUTE(G249,".",""),",",""),";",""),":",""),"!",""),"?",""),"""",""),"'",""),"’",""),"“",""),"”",""))))</f>
        <v/>
      </c>
      <c r="R249" s="46">
        <f>IF($A249="","",LEN(O249))</f>
        <v/>
      </c>
      <c r="S249" s="46">
        <f>IF($A249="","",IF(O249="",0,LEN(O249)-LEN(SUBSTITUTE(O249," ",""))+1))</f>
        <v/>
      </c>
      <c r="T249" s="46">
        <f>IF($A249="","",IF(AND(O249&lt;&gt;"",OR(O249=M249,AND(N249&lt;&gt;"",ISNUMBER(FIND("|"&amp;O249&amp;"|","|"&amp;N249&amp;"|"))))),1,0))</f>
        <v/>
      </c>
      <c r="U249" s="46">
        <f>IF($A249="","",IF(AND(Q249&lt;&gt;"",OR(Q249=M249,AND(N249&lt;&gt;"",ISNUMBER(FIND("|"&amp;Q249&amp;"|","|"&amp;N249&amp;"|"))))),1,0))</f>
        <v/>
      </c>
      <c r="V249" s="46">
        <f>IF($A249="","",IF(P249=O249,1,0))</f>
        <v/>
      </c>
      <c r="W249" s="46">
        <f>IF($A249="","",IF(Q249=O249,1,0))</f>
        <v/>
      </c>
      <c r="X249" s="46">
        <f>IF(OR($A249="",$H249=""),"",IF(AND($H249=1,T249=1),"TA",IF(AND($H249=0,T249=1),"FA",IF($H249=1,"FR","TR"))))</f>
        <v/>
      </c>
      <c r="Y249" s="46">
        <f>IF(OR($A249="",$H249=""),"",IF(AND($H249=1,U249=1),"TA",IF(AND($H249=0,U249=1),"FA",IF($H249=1,"FR","TR"))))</f>
        <v/>
      </c>
    </row>
    <row r="250">
      <c r="A250" s="54" t="n"/>
      <c r="B250" s="54" t="n"/>
      <c r="C250" s="54" t="n"/>
      <c r="D250" s="54" t="n"/>
      <c r="E250" s="54" t="n"/>
      <c r="F250" s="54" t="n"/>
      <c r="G250" s="54" t="n"/>
      <c r="H250" s="54" t="n"/>
      <c r="I250" s="54" t="n"/>
      <c r="J250" s="54" t="n"/>
      <c r="K250" s="54" t="n"/>
      <c r="L250" s="54" t="n"/>
      <c r="M250" s="46">
        <f>IF($A250="","",LOWER(TRIM(SUBSTITUTE(SUBSTITUTE(SUBSTITUTE(SUBSTITUTE(SUBSTITUTE(SUBSTITUTE(SUBSTITUTE(SUBSTITUTE(SUBSTITUTE(SUBSTITUTE(SUBSTITUTE(C250,".",""),",",""),";",""),":",""),"!",""),"?",""),"""",""),"'",""),"’",""),"“",""),"”",""))))</f>
        <v/>
      </c>
      <c r="N250" s="46">
        <f>IF($A250="","",SUBSTITUTE(SUBSTITUTE(LOWER(TRIM(SUBSTITUTE(SUBSTITUTE(SUBSTITUTE(SUBSTITUTE(SUBSTITUTE(SUBSTITUTE(SUBSTITUTE(SUBSTITUTE(SUBSTITUTE(SUBSTITUTE(SUBSTITUTE(D250,".",""),",",""),";",""),":",""),"!",""),"?",""),"""",""),"'",""),"’",""),"“",""),"”","")))," |","|"),"| ","|"))</f>
        <v/>
      </c>
      <c r="O250" s="46">
        <f>IF($A250="","",LOWER(TRIM(SUBSTITUTE(SUBSTITUTE(SUBSTITUTE(SUBSTITUTE(SUBSTITUTE(SUBSTITUTE(SUBSTITUTE(SUBSTITUTE(SUBSTITUTE(SUBSTITUTE(SUBSTITUTE(E250,".",""),",",""),";",""),":",""),"!",""),"?",""),"""",""),"'",""),"’",""),"“",""),"”",""))))</f>
        <v/>
      </c>
      <c r="P250" s="46">
        <f>IF($A250="","",LOWER(TRIM(SUBSTITUTE(SUBSTITUTE(SUBSTITUTE(SUBSTITUTE(SUBSTITUTE(SUBSTITUTE(SUBSTITUTE(SUBSTITUTE(SUBSTITUTE(SUBSTITUTE(SUBSTITUTE(F250,".",""),",",""),";",""),":",""),"!",""),"?",""),"""",""),"'",""),"’",""),"“",""),"”",""))))</f>
        <v/>
      </c>
      <c r="Q250" s="46">
        <f>IF($A250="","",LOWER(TRIM(SUBSTITUTE(SUBSTITUTE(SUBSTITUTE(SUBSTITUTE(SUBSTITUTE(SUBSTITUTE(SUBSTITUTE(SUBSTITUTE(SUBSTITUTE(SUBSTITUTE(SUBSTITUTE(G250,".",""),",",""),";",""),":",""),"!",""),"?",""),"""",""),"'",""),"’",""),"“",""),"”",""))))</f>
        <v/>
      </c>
      <c r="R250" s="46">
        <f>IF($A250="","",LEN(O250))</f>
        <v/>
      </c>
      <c r="S250" s="46">
        <f>IF($A250="","",IF(O250="",0,LEN(O250)-LEN(SUBSTITUTE(O250," ",""))+1))</f>
        <v/>
      </c>
      <c r="T250" s="46">
        <f>IF($A250="","",IF(AND(O250&lt;&gt;"",OR(O250=M250,AND(N250&lt;&gt;"",ISNUMBER(FIND("|"&amp;O250&amp;"|","|"&amp;N250&amp;"|"))))),1,0))</f>
        <v/>
      </c>
      <c r="U250" s="46">
        <f>IF($A250="","",IF(AND(Q250&lt;&gt;"",OR(Q250=M250,AND(N250&lt;&gt;"",ISNUMBER(FIND("|"&amp;Q250&amp;"|","|"&amp;N250&amp;"|"))))),1,0))</f>
        <v/>
      </c>
      <c r="V250" s="46">
        <f>IF($A250="","",IF(P250=O250,1,0))</f>
        <v/>
      </c>
      <c r="W250" s="46">
        <f>IF($A250="","",IF(Q250=O250,1,0))</f>
        <v/>
      </c>
      <c r="X250" s="46">
        <f>IF(OR($A250="",$H250=""),"",IF(AND($H250=1,T250=1),"TA",IF(AND($H250=0,T250=1),"FA",IF($H250=1,"FR","TR"))))</f>
        <v/>
      </c>
      <c r="Y250" s="46">
        <f>IF(OR($A250="",$H250=""),"",IF(AND($H250=1,U250=1),"TA",IF(AND($H250=0,U250=1),"FA",IF($H250=1,"FR","TR"))))</f>
        <v/>
      </c>
    </row>
    <row r="251">
      <c r="A251" s="54" t="n"/>
      <c r="B251" s="54" t="n"/>
      <c r="C251" s="54" t="n"/>
      <c r="D251" s="54" t="n"/>
      <c r="E251" s="54" t="n"/>
      <c r="F251" s="54" t="n"/>
      <c r="G251" s="54" t="n"/>
      <c r="H251" s="54" t="n"/>
      <c r="I251" s="54" t="n"/>
      <c r="J251" s="54" t="n"/>
      <c r="K251" s="54" t="n"/>
      <c r="L251" s="54" t="n"/>
      <c r="M251" s="46">
        <f>IF($A251="","",LOWER(TRIM(SUBSTITUTE(SUBSTITUTE(SUBSTITUTE(SUBSTITUTE(SUBSTITUTE(SUBSTITUTE(SUBSTITUTE(SUBSTITUTE(SUBSTITUTE(SUBSTITUTE(SUBSTITUTE(C251,".",""),",",""),";",""),":",""),"!",""),"?",""),"""",""),"'",""),"’",""),"“",""),"”",""))))</f>
        <v/>
      </c>
      <c r="N251" s="46">
        <f>IF($A251="","",SUBSTITUTE(SUBSTITUTE(LOWER(TRIM(SUBSTITUTE(SUBSTITUTE(SUBSTITUTE(SUBSTITUTE(SUBSTITUTE(SUBSTITUTE(SUBSTITUTE(SUBSTITUTE(SUBSTITUTE(SUBSTITUTE(SUBSTITUTE(D251,".",""),",",""),";",""),":",""),"!",""),"?",""),"""",""),"'",""),"’",""),"“",""),"”","")))," |","|"),"| ","|"))</f>
        <v/>
      </c>
      <c r="O251" s="46">
        <f>IF($A251="","",LOWER(TRIM(SUBSTITUTE(SUBSTITUTE(SUBSTITUTE(SUBSTITUTE(SUBSTITUTE(SUBSTITUTE(SUBSTITUTE(SUBSTITUTE(SUBSTITUTE(SUBSTITUTE(SUBSTITUTE(E251,".",""),",",""),";",""),":",""),"!",""),"?",""),"""",""),"'",""),"’",""),"“",""),"”",""))))</f>
        <v/>
      </c>
      <c r="P251" s="46">
        <f>IF($A251="","",LOWER(TRIM(SUBSTITUTE(SUBSTITUTE(SUBSTITUTE(SUBSTITUTE(SUBSTITUTE(SUBSTITUTE(SUBSTITUTE(SUBSTITUTE(SUBSTITUTE(SUBSTITUTE(SUBSTITUTE(F251,".",""),",",""),";",""),":",""),"!",""),"?",""),"""",""),"'",""),"’",""),"“",""),"”",""))))</f>
        <v/>
      </c>
      <c r="Q251" s="46">
        <f>IF($A251="","",LOWER(TRIM(SUBSTITUTE(SUBSTITUTE(SUBSTITUTE(SUBSTITUTE(SUBSTITUTE(SUBSTITUTE(SUBSTITUTE(SUBSTITUTE(SUBSTITUTE(SUBSTITUTE(SUBSTITUTE(G251,".",""),",",""),";",""),":",""),"!",""),"?",""),"""",""),"'",""),"’",""),"“",""),"”",""))))</f>
        <v/>
      </c>
      <c r="R251" s="46">
        <f>IF($A251="","",LEN(O251))</f>
        <v/>
      </c>
      <c r="S251" s="46">
        <f>IF($A251="","",IF(O251="",0,LEN(O251)-LEN(SUBSTITUTE(O251," ",""))+1))</f>
        <v/>
      </c>
      <c r="T251" s="46">
        <f>IF($A251="","",IF(AND(O251&lt;&gt;"",OR(O251=M251,AND(N251&lt;&gt;"",ISNUMBER(FIND("|"&amp;O251&amp;"|","|"&amp;N251&amp;"|"))))),1,0))</f>
        <v/>
      </c>
      <c r="U251" s="46">
        <f>IF($A251="","",IF(AND(Q251&lt;&gt;"",OR(Q251=M251,AND(N251&lt;&gt;"",ISNUMBER(FIND("|"&amp;Q251&amp;"|","|"&amp;N251&amp;"|"))))),1,0))</f>
        <v/>
      </c>
      <c r="V251" s="46">
        <f>IF($A251="","",IF(P251=O251,1,0))</f>
        <v/>
      </c>
      <c r="W251" s="46">
        <f>IF($A251="","",IF(Q251=O251,1,0))</f>
        <v/>
      </c>
      <c r="X251" s="46">
        <f>IF(OR($A251="",$H251=""),"",IF(AND($H251=1,T251=1),"TA",IF(AND($H251=0,T251=1),"FA",IF($H251=1,"FR","TR"))))</f>
        <v/>
      </c>
      <c r="Y251" s="46">
        <f>IF(OR($A251="",$H251=""),"",IF(AND($H251=1,U251=1),"TA",IF(AND($H251=0,U251=1),"FA",IF($H251=1,"FR","TR"))))</f>
        <v/>
      </c>
    </row>
    <row r="252">
      <c r="A252" s="54" t="n"/>
      <c r="B252" s="54" t="n"/>
      <c r="C252" s="54" t="n"/>
      <c r="D252" s="54" t="n"/>
      <c r="E252" s="54" t="n"/>
      <c r="F252" s="54" t="n"/>
      <c r="G252" s="54" t="n"/>
      <c r="H252" s="54" t="n"/>
      <c r="I252" s="54" t="n"/>
      <c r="J252" s="54" t="n"/>
      <c r="K252" s="54" t="n"/>
      <c r="L252" s="54" t="n"/>
      <c r="M252" s="46">
        <f>IF($A252="","",LOWER(TRIM(SUBSTITUTE(SUBSTITUTE(SUBSTITUTE(SUBSTITUTE(SUBSTITUTE(SUBSTITUTE(SUBSTITUTE(SUBSTITUTE(SUBSTITUTE(SUBSTITUTE(SUBSTITUTE(C252,".",""),",",""),";",""),":",""),"!",""),"?",""),"""",""),"'",""),"’",""),"“",""),"”",""))))</f>
        <v/>
      </c>
      <c r="N252" s="46">
        <f>IF($A252="","",SUBSTITUTE(SUBSTITUTE(LOWER(TRIM(SUBSTITUTE(SUBSTITUTE(SUBSTITUTE(SUBSTITUTE(SUBSTITUTE(SUBSTITUTE(SUBSTITUTE(SUBSTITUTE(SUBSTITUTE(SUBSTITUTE(SUBSTITUTE(D252,".",""),",",""),";",""),":",""),"!",""),"?",""),"""",""),"'",""),"’",""),"“",""),"”","")))," |","|"),"| ","|"))</f>
        <v/>
      </c>
      <c r="O252" s="46">
        <f>IF($A252="","",LOWER(TRIM(SUBSTITUTE(SUBSTITUTE(SUBSTITUTE(SUBSTITUTE(SUBSTITUTE(SUBSTITUTE(SUBSTITUTE(SUBSTITUTE(SUBSTITUTE(SUBSTITUTE(SUBSTITUTE(E252,".",""),",",""),";",""),":",""),"!",""),"?",""),"""",""),"'",""),"’",""),"“",""),"”",""))))</f>
        <v/>
      </c>
      <c r="P252" s="46">
        <f>IF($A252="","",LOWER(TRIM(SUBSTITUTE(SUBSTITUTE(SUBSTITUTE(SUBSTITUTE(SUBSTITUTE(SUBSTITUTE(SUBSTITUTE(SUBSTITUTE(SUBSTITUTE(SUBSTITUTE(SUBSTITUTE(F252,".",""),",",""),";",""),":",""),"!",""),"?",""),"""",""),"'",""),"’",""),"“",""),"”",""))))</f>
        <v/>
      </c>
      <c r="Q252" s="46">
        <f>IF($A252="","",LOWER(TRIM(SUBSTITUTE(SUBSTITUTE(SUBSTITUTE(SUBSTITUTE(SUBSTITUTE(SUBSTITUTE(SUBSTITUTE(SUBSTITUTE(SUBSTITUTE(SUBSTITUTE(SUBSTITUTE(G252,".",""),",",""),";",""),":",""),"!",""),"?",""),"""",""),"'",""),"’",""),"“",""),"”",""))))</f>
        <v/>
      </c>
      <c r="R252" s="46">
        <f>IF($A252="","",LEN(O252))</f>
        <v/>
      </c>
      <c r="S252" s="46">
        <f>IF($A252="","",IF(O252="",0,LEN(O252)-LEN(SUBSTITUTE(O252," ",""))+1))</f>
        <v/>
      </c>
      <c r="T252" s="46">
        <f>IF($A252="","",IF(AND(O252&lt;&gt;"",OR(O252=M252,AND(N252&lt;&gt;"",ISNUMBER(FIND("|"&amp;O252&amp;"|","|"&amp;N252&amp;"|"))))),1,0))</f>
        <v/>
      </c>
      <c r="U252" s="46">
        <f>IF($A252="","",IF(AND(Q252&lt;&gt;"",OR(Q252=M252,AND(N252&lt;&gt;"",ISNUMBER(FIND("|"&amp;Q252&amp;"|","|"&amp;N252&amp;"|"))))),1,0))</f>
        <v/>
      </c>
      <c r="V252" s="46">
        <f>IF($A252="","",IF(P252=O252,1,0))</f>
        <v/>
      </c>
      <c r="W252" s="46">
        <f>IF($A252="","",IF(Q252=O252,1,0))</f>
        <v/>
      </c>
      <c r="X252" s="46">
        <f>IF(OR($A252="",$H252=""),"",IF(AND($H252=1,T252=1),"TA",IF(AND($H252=0,T252=1),"FA",IF($H252=1,"FR","TR"))))</f>
        <v/>
      </c>
      <c r="Y252" s="46">
        <f>IF(OR($A252="",$H252=""),"",IF(AND($H252=1,U252=1),"TA",IF(AND($H252=0,U252=1),"FA",IF($H252=1,"FR","TR"))))</f>
        <v/>
      </c>
    </row>
    <row r="253">
      <c r="A253" s="54" t="n"/>
      <c r="B253" s="54" t="n"/>
      <c r="C253" s="54" t="n"/>
      <c r="D253" s="54" t="n"/>
      <c r="E253" s="54" t="n"/>
      <c r="F253" s="54" t="n"/>
      <c r="G253" s="54" t="n"/>
      <c r="H253" s="54" t="n"/>
      <c r="I253" s="54" t="n"/>
      <c r="J253" s="54" t="n"/>
      <c r="K253" s="54" t="n"/>
      <c r="L253" s="54" t="n"/>
      <c r="M253" s="46">
        <f>IF($A253="","",LOWER(TRIM(SUBSTITUTE(SUBSTITUTE(SUBSTITUTE(SUBSTITUTE(SUBSTITUTE(SUBSTITUTE(SUBSTITUTE(SUBSTITUTE(SUBSTITUTE(SUBSTITUTE(SUBSTITUTE(C253,".",""),",",""),";",""),":",""),"!",""),"?",""),"""",""),"'",""),"’",""),"“",""),"”",""))))</f>
        <v/>
      </c>
      <c r="N253" s="46">
        <f>IF($A253="","",SUBSTITUTE(SUBSTITUTE(LOWER(TRIM(SUBSTITUTE(SUBSTITUTE(SUBSTITUTE(SUBSTITUTE(SUBSTITUTE(SUBSTITUTE(SUBSTITUTE(SUBSTITUTE(SUBSTITUTE(SUBSTITUTE(SUBSTITUTE(D253,".",""),",",""),";",""),":",""),"!",""),"?",""),"""",""),"'",""),"’",""),"“",""),"”","")))," |","|"),"| ","|"))</f>
        <v/>
      </c>
      <c r="O253" s="46">
        <f>IF($A253="","",LOWER(TRIM(SUBSTITUTE(SUBSTITUTE(SUBSTITUTE(SUBSTITUTE(SUBSTITUTE(SUBSTITUTE(SUBSTITUTE(SUBSTITUTE(SUBSTITUTE(SUBSTITUTE(SUBSTITUTE(E253,".",""),",",""),";",""),":",""),"!",""),"?",""),"""",""),"'",""),"’",""),"“",""),"”",""))))</f>
        <v/>
      </c>
      <c r="P253" s="46">
        <f>IF($A253="","",LOWER(TRIM(SUBSTITUTE(SUBSTITUTE(SUBSTITUTE(SUBSTITUTE(SUBSTITUTE(SUBSTITUTE(SUBSTITUTE(SUBSTITUTE(SUBSTITUTE(SUBSTITUTE(SUBSTITUTE(F253,".",""),",",""),";",""),":",""),"!",""),"?",""),"""",""),"'",""),"’",""),"“",""),"”",""))))</f>
        <v/>
      </c>
      <c r="Q253" s="46">
        <f>IF($A253="","",LOWER(TRIM(SUBSTITUTE(SUBSTITUTE(SUBSTITUTE(SUBSTITUTE(SUBSTITUTE(SUBSTITUTE(SUBSTITUTE(SUBSTITUTE(SUBSTITUTE(SUBSTITUTE(SUBSTITUTE(G253,".",""),",",""),";",""),":",""),"!",""),"?",""),"""",""),"'",""),"’",""),"“",""),"”",""))))</f>
        <v/>
      </c>
      <c r="R253" s="46">
        <f>IF($A253="","",LEN(O253))</f>
        <v/>
      </c>
      <c r="S253" s="46">
        <f>IF($A253="","",IF(O253="",0,LEN(O253)-LEN(SUBSTITUTE(O253," ",""))+1))</f>
        <v/>
      </c>
      <c r="T253" s="46">
        <f>IF($A253="","",IF(AND(O253&lt;&gt;"",OR(O253=M253,AND(N253&lt;&gt;"",ISNUMBER(FIND("|"&amp;O253&amp;"|","|"&amp;N253&amp;"|"))))),1,0))</f>
        <v/>
      </c>
      <c r="U253" s="46">
        <f>IF($A253="","",IF(AND(Q253&lt;&gt;"",OR(Q253=M253,AND(N253&lt;&gt;"",ISNUMBER(FIND("|"&amp;Q253&amp;"|","|"&amp;N253&amp;"|"))))),1,0))</f>
        <v/>
      </c>
      <c r="V253" s="46">
        <f>IF($A253="","",IF(P253=O253,1,0))</f>
        <v/>
      </c>
      <c r="W253" s="46">
        <f>IF($A253="","",IF(Q253=O253,1,0))</f>
        <v/>
      </c>
      <c r="X253" s="46">
        <f>IF(OR($A253="",$H253=""),"",IF(AND($H253=1,T253=1),"TA",IF(AND($H253=0,T253=1),"FA",IF($H253=1,"FR","TR"))))</f>
        <v/>
      </c>
      <c r="Y253" s="46">
        <f>IF(OR($A253="",$H253=""),"",IF(AND($H253=1,U253=1),"TA",IF(AND($H253=0,U253=1),"FA",IF($H253=1,"FR","TR"))))</f>
        <v/>
      </c>
    </row>
    <row r="254">
      <c r="A254" s="54" t="n"/>
      <c r="B254" s="54" t="n"/>
      <c r="C254" s="54" t="n"/>
      <c r="D254" s="54" t="n"/>
      <c r="E254" s="54" t="n"/>
      <c r="F254" s="54" t="n"/>
      <c r="G254" s="54" t="n"/>
      <c r="H254" s="54" t="n"/>
      <c r="I254" s="54" t="n"/>
      <c r="J254" s="54" t="n"/>
      <c r="K254" s="54" t="n"/>
      <c r="L254" s="54" t="n"/>
      <c r="M254" s="46">
        <f>IF($A254="","",LOWER(TRIM(SUBSTITUTE(SUBSTITUTE(SUBSTITUTE(SUBSTITUTE(SUBSTITUTE(SUBSTITUTE(SUBSTITUTE(SUBSTITUTE(SUBSTITUTE(SUBSTITUTE(SUBSTITUTE(C254,".",""),",",""),";",""),":",""),"!",""),"?",""),"""",""),"'",""),"’",""),"“",""),"”",""))))</f>
        <v/>
      </c>
      <c r="N254" s="46">
        <f>IF($A254="","",SUBSTITUTE(SUBSTITUTE(LOWER(TRIM(SUBSTITUTE(SUBSTITUTE(SUBSTITUTE(SUBSTITUTE(SUBSTITUTE(SUBSTITUTE(SUBSTITUTE(SUBSTITUTE(SUBSTITUTE(SUBSTITUTE(SUBSTITUTE(D254,".",""),",",""),";",""),":",""),"!",""),"?",""),"""",""),"'",""),"’",""),"“",""),"”","")))," |","|"),"| ","|"))</f>
        <v/>
      </c>
      <c r="O254" s="46">
        <f>IF($A254="","",LOWER(TRIM(SUBSTITUTE(SUBSTITUTE(SUBSTITUTE(SUBSTITUTE(SUBSTITUTE(SUBSTITUTE(SUBSTITUTE(SUBSTITUTE(SUBSTITUTE(SUBSTITUTE(SUBSTITUTE(E254,".",""),",",""),";",""),":",""),"!",""),"?",""),"""",""),"'",""),"’",""),"“",""),"”",""))))</f>
        <v/>
      </c>
      <c r="P254" s="46">
        <f>IF($A254="","",LOWER(TRIM(SUBSTITUTE(SUBSTITUTE(SUBSTITUTE(SUBSTITUTE(SUBSTITUTE(SUBSTITUTE(SUBSTITUTE(SUBSTITUTE(SUBSTITUTE(SUBSTITUTE(SUBSTITUTE(F254,".",""),",",""),";",""),":",""),"!",""),"?",""),"""",""),"'",""),"’",""),"“",""),"”",""))))</f>
        <v/>
      </c>
      <c r="Q254" s="46">
        <f>IF($A254="","",LOWER(TRIM(SUBSTITUTE(SUBSTITUTE(SUBSTITUTE(SUBSTITUTE(SUBSTITUTE(SUBSTITUTE(SUBSTITUTE(SUBSTITUTE(SUBSTITUTE(SUBSTITUTE(SUBSTITUTE(G254,".",""),",",""),";",""),":",""),"!",""),"?",""),"""",""),"'",""),"’",""),"“",""),"”",""))))</f>
        <v/>
      </c>
      <c r="R254" s="46">
        <f>IF($A254="","",LEN(O254))</f>
        <v/>
      </c>
      <c r="S254" s="46">
        <f>IF($A254="","",IF(O254="",0,LEN(O254)-LEN(SUBSTITUTE(O254," ",""))+1))</f>
        <v/>
      </c>
      <c r="T254" s="46">
        <f>IF($A254="","",IF(AND(O254&lt;&gt;"",OR(O254=M254,AND(N254&lt;&gt;"",ISNUMBER(FIND("|"&amp;O254&amp;"|","|"&amp;N254&amp;"|"))))),1,0))</f>
        <v/>
      </c>
      <c r="U254" s="46">
        <f>IF($A254="","",IF(AND(Q254&lt;&gt;"",OR(Q254=M254,AND(N254&lt;&gt;"",ISNUMBER(FIND("|"&amp;Q254&amp;"|","|"&amp;N254&amp;"|"))))),1,0))</f>
        <v/>
      </c>
      <c r="V254" s="46">
        <f>IF($A254="","",IF(P254=O254,1,0))</f>
        <v/>
      </c>
      <c r="W254" s="46">
        <f>IF($A254="","",IF(Q254=O254,1,0))</f>
        <v/>
      </c>
      <c r="X254" s="46">
        <f>IF(OR($A254="",$H254=""),"",IF(AND($H254=1,T254=1),"TA",IF(AND($H254=0,T254=1),"FA",IF($H254=1,"FR","TR"))))</f>
        <v/>
      </c>
      <c r="Y254" s="46">
        <f>IF(OR($A254="",$H254=""),"",IF(AND($H254=1,U254=1),"TA",IF(AND($H254=0,U254=1),"FA",IF($H254=1,"FR","TR"))))</f>
        <v/>
      </c>
    </row>
  </sheetData>
  <dataValidations count="2">
    <dataValidation sqref="H5:I254" showDropDown="0" showInputMessage="0" showErrorMessage="0" allowBlank="1" type="list">
      <formula1>"0,1"</formula1>
      <formula2>0</formula2>
    </dataValidation>
    <dataValidation sqref="L5:L254" showDropDown="0" showInputMessage="0" showErrorMessage="0" allowBlank="1" type="list">
      <formula1>Settings!$A$7:$A$12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2026-09-20T16:55:02Z</dcterms:created>
  <dcterms:modified xmlns:dcterms="http://purl.org/dc/terms/" xmlns:xsi="http://www.w3.org/2001/XMLSchema-instance" xsi:type="dcterms:W3CDTF">2026-09-20T17:16:28Z</dcterms:modified>
  <cp:revision>0</cp:revision>
</cp:coreProperties>
</file>